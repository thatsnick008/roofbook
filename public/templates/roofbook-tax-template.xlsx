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checkCompatibility="1"/>
  <mc:AlternateContent xmlns:mc="http://schemas.openxmlformats.org/markup-compatibility/2006">
    <mc:Choice Requires="x15">
      <x15ac:absPath xmlns:x15ac="http://schemas.microsoft.com/office/spreadsheetml/2010/11/ac" url="C:\Users\2pulk\Google Drive\Consulting by PK\4. PIA Course Material\Week 6\"/>
    </mc:Choice>
  </mc:AlternateContent>
  <xr:revisionPtr revIDLastSave="0" documentId="13_ncr:1_{BB18C62A-850F-4A66-B7AA-AA5BF0226D29}" xr6:coauthVersionLast="47" xr6:coauthVersionMax="47" xr10:uidLastSave="{00000000-0000-0000-0000-000000000000}"/>
  <bookViews>
    <workbookView xWindow="-110" yWindow="-110" windowWidth="19420" windowHeight="10420" tabRatio="695" xr2:uid="{00000000-000D-0000-FFFF-FFFF00000000}"/>
  </bookViews>
  <sheets>
    <sheet name="Taxpayer Info" sheetId="30" r:id="rId1"/>
    <sheet name="T1 Income" sheetId="47" r:id="rId2"/>
    <sheet name="T2 Income" sheetId="81" r:id="rId3"/>
    <sheet name="T1 Deductions" sheetId="32" r:id="rId4"/>
    <sheet name="T2 Deductions" sheetId="82" r:id="rId5"/>
    <sheet name="Tax Offsets" sheetId="34" r:id="rId6"/>
    <sheet name="Additional Info T1" sheetId="38" r:id="rId7"/>
    <sheet name="Additional Info T2" sheetId="83" r:id="rId8"/>
    <sheet name="Business T1" sheetId="48" r:id="rId9"/>
    <sheet name="Business T2" sheetId="84" r:id="rId10"/>
    <sheet name="Medicare Health &amp; Other" sheetId="35" r:id="rId11"/>
    <sheet name="7 Rosella Close" sheetId="7" r:id="rId12"/>
    <sheet name="Property 2" sheetId="71" r:id="rId13"/>
    <sheet name="Property 3" sheetId="72" r:id="rId14"/>
    <sheet name="Property 4" sheetId="73" r:id="rId15"/>
    <sheet name="Property 5" sheetId="74" r:id="rId16"/>
    <sheet name="Property 6" sheetId="85" r:id="rId17"/>
    <sheet name="Property 7" sheetId="86" r:id="rId18"/>
    <sheet name="Property 8" sheetId="88" r:id="rId19"/>
    <sheet name="Property 9" sheetId="89" r:id="rId20"/>
    <sheet name="Property 10" sheetId="87" r:id="rId21"/>
    <sheet name="Property 11" sheetId="90" r:id="rId22"/>
    <sheet name="Portfolio Summary" sheetId="1" r:id="rId23"/>
  </sheets>
  <definedNames>
    <definedName name="Gender.">#REF!</definedName>
    <definedName name="_xlnm.Print_Area" localSheetId="10">'Medicare Health &amp; Other'!#REF!</definedName>
    <definedName name="_xlnm.Print_Area" localSheetId="22">'Portfolio Summary'!$B$2:$F$19</definedName>
    <definedName name="_xlnm.Print_Area" localSheetId="3">'T1 Deductions'!#REF!</definedName>
    <definedName name="_xlnm.Print_Area" localSheetId="1">'T1 Income'!$A$4:$F$19</definedName>
    <definedName name="_xlnm.Print_Area" localSheetId="4">'T2 Deductions'!#REF!</definedName>
    <definedName name="_xlnm.Print_Area" localSheetId="2">'T2 Income'!$A$4:$F$19</definedName>
    <definedName name="_xlnm.Print_Area" localSheetId="5">'Tax Offsets'!#REF!</definedName>
    <definedName name="Relationship.">#REF!</definedName>
    <definedName name="YesNo.">#REF!</definedName>
    <definedName name="YesNo2">#REF!</definedName>
    <definedName name="YesNo2.">#REF!</definedName>
  </definedNames>
  <calcPr calcId="181029"/>
</workbook>
</file>

<file path=xl/calcChain.xml><?xml version="1.0" encoding="utf-8"?>
<calcChain xmlns="http://schemas.openxmlformats.org/spreadsheetml/2006/main">
  <c r="E20" i="1" l="1"/>
  <c r="C20" i="1"/>
  <c r="D20" i="1"/>
  <c r="D19" i="1"/>
  <c r="D18" i="1"/>
  <c r="D17" i="1"/>
  <c r="D16" i="1"/>
  <c r="D15" i="1"/>
  <c r="D14" i="1"/>
  <c r="D13" i="1"/>
  <c r="D12" i="1"/>
  <c r="D11" i="1"/>
  <c r="E16" i="1"/>
  <c r="C19" i="1"/>
  <c r="C18" i="1"/>
  <c r="C17" i="1"/>
  <c r="C16" i="1"/>
  <c r="C15" i="1"/>
  <c r="C14" i="1"/>
  <c r="B19" i="1"/>
  <c r="B18" i="1"/>
  <c r="B17" i="1"/>
  <c r="B16" i="1"/>
  <c r="B15" i="1"/>
  <c r="B14" i="1"/>
  <c r="B5" i="1"/>
  <c r="B4" i="1"/>
  <c r="B3" i="1"/>
  <c r="C84" i="90"/>
  <c r="C86" i="90" s="1"/>
  <c r="C75" i="90"/>
  <c r="C47" i="90"/>
  <c r="B36" i="90"/>
  <c r="C84" i="89"/>
  <c r="C86" i="89" s="1"/>
  <c r="C75" i="89"/>
  <c r="C47" i="89"/>
  <c r="B36" i="89"/>
  <c r="C84" i="88"/>
  <c r="C86" i="88" s="1"/>
  <c r="C75" i="88"/>
  <c r="C47" i="88"/>
  <c r="B36" i="88"/>
  <c r="C84" i="87"/>
  <c r="C86" i="87" s="1"/>
  <c r="C75" i="87"/>
  <c r="C47" i="87"/>
  <c r="B36" i="87"/>
  <c r="C84" i="86"/>
  <c r="C86" i="86" s="1"/>
  <c r="C75" i="86"/>
  <c r="C47" i="86"/>
  <c r="B36" i="86"/>
  <c r="C84" i="85"/>
  <c r="C75" i="85"/>
  <c r="C47" i="85"/>
  <c r="C86" i="85" s="1"/>
  <c r="B36" i="85"/>
  <c r="E19" i="1" l="1"/>
  <c r="E15" i="1"/>
  <c r="E14" i="1"/>
  <c r="E18" i="1"/>
  <c r="E17" i="1"/>
  <c r="B4" i="90"/>
  <c r="B3" i="90"/>
  <c r="B5" i="90" s="1"/>
  <c r="B4" i="89"/>
  <c r="B3" i="89"/>
  <c r="B5" i="89" s="1"/>
  <c r="B4" i="88"/>
  <c r="B3" i="88"/>
  <c r="B5" i="88" s="1"/>
  <c r="B4" i="87"/>
  <c r="B3" i="87"/>
  <c r="B5" i="87" s="1"/>
  <c r="B4" i="86"/>
  <c r="B3" i="86"/>
  <c r="B5" i="86" s="1"/>
  <c r="B4" i="85"/>
  <c r="B3" i="85"/>
  <c r="B5" i="85" s="1"/>
  <c r="D10" i="1"/>
  <c r="C47" i="74"/>
  <c r="C75" i="74"/>
  <c r="C84" i="74"/>
  <c r="C86" i="74"/>
  <c r="B36" i="74"/>
  <c r="B3" i="74"/>
  <c r="B4" i="74"/>
  <c r="B5" i="74"/>
  <c r="C47" i="73"/>
  <c r="C75" i="73"/>
  <c r="C84" i="73"/>
  <c r="C86" i="73"/>
  <c r="B36" i="73"/>
  <c r="B3" i="73"/>
  <c r="B4" i="73"/>
  <c r="B5" i="73"/>
  <c r="C47" i="72"/>
  <c r="C75" i="72"/>
  <c r="C84" i="72"/>
  <c r="C86" i="72"/>
  <c r="B36" i="72"/>
  <c r="B3" i="72"/>
  <c r="B4" i="72"/>
  <c r="B5" i="72"/>
  <c r="C47" i="71"/>
  <c r="C75" i="71"/>
  <c r="C84" i="71"/>
  <c r="C86" i="71"/>
  <c r="B36" i="71"/>
  <c r="B3" i="71"/>
  <c r="B4" i="71"/>
  <c r="B5" i="71"/>
  <c r="C123" i="82"/>
  <c r="C104" i="82"/>
  <c r="C123" i="32"/>
  <c r="C104" i="32"/>
  <c r="C75" i="7"/>
  <c r="C47" i="7"/>
  <c r="C9" i="1" s="1"/>
  <c r="C84" i="7"/>
  <c r="D9" i="1" s="1"/>
  <c r="C86" i="7"/>
  <c r="B3" i="7" s="1"/>
  <c r="B13" i="1"/>
  <c r="B12" i="1"/>
  <c r="B11" i="1"/>
  <c r="B10" i="1"/>
  <c r="C12" i="1"/>
  <c r="E12" i="1" s="1"/>
  <c r="C10" i="1"/>
  <c r="C11" i="1"/>
  <c r="C13" i="1"/>
  <c r="E13" i="1" s="1"/>
  <c r="B9" i="1"/>
  <c r="B36" i="7"/>
  <c r="E10" i="1" l="1"/>
  <c r="E11" i="1"/>
  <c r="E9" i="1"/>
  <c r="B4" i="7"/>
  <c r="B5" i="7" l="1"/>
</calcChain>
</file>

<file path=xl/sharedStrings.xml><?xml version="1.0" encoding="utf-8"?>
<sst xmlns="http://schemas.openxmlformats.org/spreadsheetml/2006/main" count="2983" uniqueCount="534">
  <si>
    <t>Income</t>
  </si>
  <si>
    <t>Expenses</t>
  </si>
  <si>
    <t>Land tax</t>
  </si>
  <si>
    <t xml:space="preserve"> </t>
  </si>
  <si>
    <t>Tenant contribution for repairs / Loss</t>
  </si>
  <si>
    <t>Total Income</t>
  </si>
  <si>
    <t>Advertising for tenants</t>
  </si>
  <si>
    <t>Body Corp / Strata - Ordinary levies</t>
  </si>
  <si>
    <t>Body Corp / Strata - Special levies</t>
  </si>
  <si>
    <t>Cleaning, waste and rubbish removal</t>
  </si>
  <si>
    <t>Council rates</t>
  </si>
  <si>
    <t>Gardens lawns and yard maintenance</t>
  </si>
  <si>
    <t>Insurance - Building</t>
  </si>
  <si>
    <t>Insurance  - Contents</t>
  </si>
  <si>
    <t>Insurance - Landlord policy</t>
  </si>
  <si>
    <t>Pest Control</t>
  </si>
  <si>
    <t>Stationery, Phone, Post etc</t>
  </si>
  <si>
    <t>Water</t>
  </si>
  <si>
    <t>Sundry Costs</t>
  </si>
  <si>
    <t>Period available to rent in Financial Year</t>
  </si>
  <si>
    <t>Start</t>
  </si>
  <si>
    <t>End</t>
  </si>
  <si>
    <t>Total Expenses</t>
  </si>
  <si>
    <t>First Name</t>
  </si>
  <si>
    <t>$</t>
  </si>
  <si>
    <t>Occupation (Main job)</t>
  </si>
  <si>
    <r>
      <t>teacher</t>
    </r>
    <r>
      <rPr>
        <sz val="12"/>
        <rFont val="Arial"/>
        <family val="2"/>
      </rPr>
      <t>. Describe type of role and full</t>
    </r>
  </si>
  <si>
    <t>ABN</t>
  </si>
  <si>
    <t>Employer name</t>
  </si>
  <si>
    <t>Item 1 : SALARY &amp; WAGES</t>
  </si>
  <si>
    <t>Item 2 : ALLOWANCES</t>
  </si>
  <si>
    <t>Amount</t>
  </si>
  <si>
    <r>
      <rPr>
        <b/>
        <sz val="12"/>
        <rFont val="Arial"/>
        <family val="2"/>
      </rPr>
      <t>Guide</t>
    </r>
    <r>
      <rPr>
        <sz val="12"/>
        <rFont val="Arial"/>
        <family val="2"/>
      </rPr>
      <t xml:space="preserve"> : Avoid general terms such as </t>
    </r>
  </si>
  <si>
    <r>
      <rPr>
        <b/>
        <sz val="12"/>
        <rFont val="Arial"/>
        <family val="2"/>
      </rPr>
      <t>Guide</t>
    </r>
    <r>
      <rPr>
        <sz val="12"/>
        <rFont val="Arial"/>
        <family val="2"/>
      </rPr>
      <t xml:space="preserve"> : Allowances can sometimes not be shown on a PAYG summary.</t>
    </r>
  </si>
  <si>
    <t>Purpose</t>
  </si>
  <si>
    <t>Item 3 : EMPLOYER LUMP SUM</t>
  </si>
  <si>
    <r>
      <rPr>
        <b/>
        <sz val="12"/>
        <rFont val="Arial"/>
        <family val="2"/>
      </rPr>
      <t>Guide</t>
    </r>
    <r>
      <rPr>
        <sz val="12"/>
        <rFont val="Arial"/>
        <family val="2"/>
      </rPr>
      <t xml:space="preserve"> : Provide PAYG Summary showing termination / redundancy</t>
    </r>
  </si>
  <si>
    <t>Item 4 : EMPLOYER ETP (Termination Payments)</t>
  </si>
  <si>
    <r>
      <rPr>
        <b/>
        <sz val="12"/>
        <rFont val="Arial"/>
        <family val="2"/>
      </rPr>
      <t>Guide</t>
    </r>
    <r>
      <rPr>
        <sz val="12"/>
        <rFont val="Arial"/>
        <family val="2"/>
      </rPr>
      <t xml:space="preserve"> : Provide the ETP Payment Summary showing termination amounts</t>
    </r>
  </si>
  <si>
    <t>Item 5 : Government Allowances eg Newstart</t>
  </si>
  <si>
    <r>
      <rPr>
        <b/>
        <sz val="12"/>
        <rFont val="Arial"/>
        <family val="2"/>
      </rPr>
      <t>Guide</t>
    </r>
    <r>
      <rPr>
        <sz val="12"/>
        <rFont val="Arial"/>
        <family val="2"/>
      </rPr>
      <t xml:space="preserve"> : Centrelink no longer issues payment summaries</t>
    </r>
  </si>
  <si>
    <t>Item 6 : Government Pensions</t>
  </si>
  <si>
    <t>Item 7 : Superannaution Pensions, Income Stream or Annuity Income</t>
  </si>
  <si>
    <t>Did you receive an annuity or super pension of ANY type ?</t>
  </si>
  <si>
    <r>
      <rPr>
        <b/>
        <sz val="12"/>
        <rFont val="Arial"/>
        <family val="2"/>
      </rPr>
      <t>Guide</t>
    </r>
    <r>
      <rPr>
        <sz val="12"/>
        <rFont val="Arial"/>
        <family val="2"/>
      </rPr>
      <t xml:space="preserve"> : Provide the payment summary if you were under age 60.</t>
    </r>
  </si>
  <si>
    <t>If you are aged 60 or over the pension is likely exempt unless</t>
  </si>
  <si>
    <t>paid by a Commonwealth or State scheme. Provide PAYG summary for these</t>
  </si>
  <si>
    <t>Item 8 : Superannaution Lump Sums</t>
  </si>
  <si>
    <r>
      <rPr>
        <b/>
        <sz val="12"/>
        <rFont val="Arial"/>
        <family val="2"/>
      </rPr>
      <t>Guide</t>
    </r>
    <r>
      <rPr>
        <sz val="12"/>
        <rFont val="Arial"/>
        <family val="2"/>
      </rPr>
      <t xml:space="preserve"> : Provide the payment summary </t>
    </r>
  </si>
  <si>
    <t>If you are aged 60 or over the lump sum may be a lump sum pension</t>
  </si>
  <si>
    <t xml:space="preserve">withdrawal. Check with your fund. </t>
  </si>
  <si>
    <t>Did you work for a labour hire organisation and receive a PAYG</t>
  </si>
  <si>
    <t>Item 9 : Personal Services Income</t>
  </si>
  <si>
    <t>Item 10: Interest earned</t>
  </si>
  <si>
    <t xml:space="preserve">Did you earn interest on bank accounts </t>
  </si>
  <si>
    <t>List details below or provide a summary</t>
  </si>
  <si>
    <t>Take care to include closed / former accounts.</t>
  </si>
  <si>
    <t>% share</t>
  </si>
  <si>
    <t>Account #</t>
  </si>
  <si>
    <t>Bank</t>
  </si>
  <si>
    <t>$ (Total not share)</t>
  </si>
  <si>
    <t>Did you earn dividend income ?</t>
  </si>
  <si>
    <t>Dividends are taxable when paid or DRP shares issued.</t>
  </si>
  <si>
    <t>Take care to include former shares and DRP plans or buybacks.</t>
  </si>
  <si>
    <t>% Share</t>
  </si>
  <si>
    <t xml:space="preserve">       Company</t>
  </si>
  <si>
    <t>Summarise for each company only. Ie avoid showing two payments.</t>
  </si>
  <si>
    <t>Franked Div</t>
  </si>
  <si>
    <t>Unfranked Div</t>
  </si>
  <si>
    <t>Wht Tax</t>
  </si>
  <si>
    <t>Show any no-TFN withholding tax if it has been deducted.</t>
  </si>
  <si>
    <t>Were you issued any shares in your employer organisation ?</t>
  </si>
  <si>
    <r>
      <rPr>
        <b/>
        <sz val="12"/>
        <rFont val="Arial"/>
        <family val="2"/>
      </rPr>
      <t>Guide</t>
    </r>
    <r>
      <rPr>
        <sz val="12"/>
        <rFont val="Arial"/>
        <family val="2"/>
      </rPr>
      <t xml:space="preserve"> : Provide the ESP Payment Summary from the employer</t>
    </r>
  </si>
  <si>
    <t>Item 11: Dividends</t>
  </si>
  <si>
    <t>Item 12: Employee Share Scheme Shares</t>
  </si>
  <si>
    <t>Item 13 : Partnership Income</t>
  </si>
  <si>
    <t xml:space="preserve"> Did you receive a share of income from a partnership ?</t>
  </si>
  <si>
    <t>Item 13 : Trust Income</t>
  </si>
  <si>
    <t>Did you have investments in units in a managed trust or stapled units?</t>
  </si>
  <si>
    <t>Did you have entitlement to discretionary trust income ?</t>
  </si>
  <si>
    <r>
      <rPr>
        <b/>
        <sz val="12"/>
        <rFont val="Arial"/>
        <family val="2"/>
      </rPr>
      <t>Guide</t>
    </r>
    <r>
      <rPr>
        <sz val="12"/>
        <rFont val="Arial"/>
        <family val="2"/>
      </rPr>
      <t xml:space="preserve"> : </t>
    </r>
    <r>
      <rPr>
        <i/>
        <sz val="12"/>
        <rFont val="Arial"/>
        <family val="2"/>
      </rPr>
      <t>Provide trust records or copy of trust tax return for amount distributed</t>
    </r>
  </si>
  <si>
    <t>Did you have entitlement to a fixed / unit  trust income ?</t>
  </si>
  <si>
    <t>Item 14 : Personal Services Income</t>
  </si>
  <si>
    <t xml:space="preserve"> Did you receive business or contractor income through a related company (80%+)</t>
  </si>
  <si>
    <t>Item 17: Farm Management Deposits &amp; Repayts</t>
  </si>
  <si>
    <t>Applies only to primary producers.</t>
  </si>
  <si>
    <t>Do you have eligible farm management deposits ?</t>
  </si>
  <si>
    <t>Item 18: Capital Gains</t>
  </si>
  <si>
    <t>Do you have a prior year capital loss ?</t>
  </si>
  <si>
    <t>Item 15 : Business Income</t>
  </si>
  <si>
    <t>Did you sell or otherwise dispose / transfer ANY items such as</t>
  </si>
  <si>
    <t>Item 19 + 20: Foreign Income</t>
  </si>
  <si>
    <r>
      <rPr>
        <b/>
        <sz val="12"/>
        <rFont val="Arial"/>
        <family val="2"/>
      </rPr>
      <t>Guide</t>
    </r>
    <r>
      <rPr>
        <sz val="12"/>
        <rFont val="Arial"/>
        <family val="2"/>
      </rPr>
      <t xml:space="preserve"> : This question must be answered</t>
    </r>
  </si>
  <si>
    <r>
      <rPr>
        <b/>
        <sz val="12"/>
        <rFont val="Arial"/>
        <family val="2"/>
      </rPr>
      <t>Guide</t>
    </r>
    <r>
      <rPr>
        <sz val="12"/>
        <rFont val="Arial"/>
        <family val="2"/>
      </rPr>
      <t xml:space="preserve"> : Provide details of overseas source income from property, shares, pension etc.</t>
    </r>
  </si>
  <si>
    <t>Item 21: Rental Income</t>
  </si>
  <si>
    <r>
      <rPr>
        <b/>
        <sz val="12"/>
        <rFont val="Arial"/>
        <family val="2"/>
      </rPr>
      <t>Guide</t>
    </r>
    <r>
      <rPr>
        <sz val="12"/>
        <rFont val="Arial"/>
        <family val="2"/>
      </rPr>
      <t xml:space="preserve"> :</t>
    </r>
    <r>
      <rPr>
        <i/>
        <sz val="12"/>
        <rFont val="Arial"/>
        <family val="2"/>
      </rPr>
      <t xml:space="preserve"> For any property acquired during year provide loan docs, lawyers settlement sheet</t>
    </r>
  </si>
  <si>
    <r>
      <rPr>
        <b/>
        <sz val="12"/>
        <rFont val="Arial"/>
        <family val="2"/>
      </rPr>
      <t>Guide</t>
    </r>
    <r>
      <rPr>
        <sz val="12"/>
        <rFont val="Arial"/>
        <family val="2"/>
      </rPr>
      <t xml:space="preserve"> : Provide details</t>
    </r>
  </si>
  <si>
    <r>
      <rPr>
        <b/>
        <sz val="12"/>
        <rFont val="Arial"/>
        <family val="2"/>
      </rPr>
      <t>Guide</t>
    </r>
    <r>
      <rPr>
        <sz val="12"/>
        <rFont val="Arial"/>
        <family val="2"/>
      </rPr>
      <t xml:space="preserve"> : Provide details incl income and deductions</t>
    </r>
  </si>
  <si>
    <t>Item 22: Bonus from Life Company</t>
  </si>
  <si>
    <t>FX Gains</t>
  </si>
  <si>
    <t>Game Show winnings / Prizes</t>
  </si>
  <si>
    <t xml:space="preserve">   ATO interest remission prev deducted</t>
  </si>
  <si>
    <t xml:space="preserve">   Bal adj on sale of deductible assets</t>
  </si>
  <si>
    <t xml:space="preserve">   Other</t>
  </si>
  <si>
    <t>Item 24: Any Other Income</t>
  </si>
  <si>
    <t>INCOME</t>
  </si>
  <si>
    <t>DEDUCTIONS</t>
  </si>
  <si>
    <t>Item D1 : Work Related Car Use</t>
  </si>
  <si>
    <r>
      <rPr>
        <b/>
        <sz val="12"/>
        <rFont val="Arial"/>
        <family val="2"/>
      </rPr>
      <t>Guide</t>
    </r>
    <r>
      <rPr>
        <sz val="12"/>
        <rFont val="Arial"/>
        <family val="2"/>
      </rPr>
      <t xml:space="preserve"> :  </t>
    </r>
  </si>
  <si>
    <t>Provide details to assist deduction calulations based on an eligible method.</t>
  </si>
  <si>
    <t>Do you use your car for work related purposes ?</t>
  </si>
  <si>
    <t xml:space="preserve"> A. Cents per KM. Limit 5,000 km per car. </t>
  </si>
  <si>
    <t>Show ONLY employment related use at this section</t>
  </si>
  <si>
    <t>Item D2 : Work Related Travel (Excl car)</t>
  </si>
  <si>
    <t>If claim is made using reasonable allowances you MUST have stayed</t>
  </si>
  <si>
    <t xml:space="preserve">   Deduction based on reasonable allowance limits ?</t>
  </si>
  <si>
    <t xml:space="preserve">Item D3 : Work Related Uniform, Protective / Specific Clothing + laundry </t>
  </si>
  <si>
    <t xml:space="preserve">   Replacements ?</t>
  </si>
  <si>
    <t>Ordinary work clothes not eligible. Plain uniform not eligible (ie white shirt)</t>
  </si>
  <si>
    <t>Item D4 : Work Related Self Education Expenses</t>
  </si>
  <si>
    <t>Item D7 : Interest Deductions</t>
  </si>
  <si>
    <t>Item D8 : Dividend Deductions</t>
  </si>
  <si>
    <t>Item D9 : Gifts / Donations</t>
  </si>
  <si>
    <t>No art unions, auction events, pens, raffles or similar costs. These are not donations.</t>
  </si>
  <si>
    <t>Item D10 : Costs of Managing tax Affairs</t>
  </si>
  <si>
    <t>Software, travel and similar costs may be eligible.</t>
  </si>
  <si>
    <t>Item D11 : Undeducted Purchase Price - Foreign Pension / Annuity</t>
  </si>
  <si>
    <t>Item D12 : Personal Super Contributions</t>
  </si>
  <si>
    <t>Specific rules require a deduction notice to be held prior to lodgement. If you</t>
  </si>
  <si>
    <t>Item D13 : Project Pool</t>
  </si>
  <si>
    <t>Generally a taxpayer may have been involved in a business venture for this deduction category</t>
  </si>
  <si>
    <t>Item D14 : Forestry Managed Investment Scheme</t>
  </si>
  <si>
    <t>The managed scheme will generally provide details of income and deductions</t>
  </si>
  <si>
    <t>Item D15 : Other Deductions</t>
  </si>
  <si>
    <t xml:space="preserve">   Election expenses</t>
  </si>
  <si>
    <t>Item D5 : All Other Work Related Expenses</t>
  </si>
  <si>
    <t>Item D6 : Low Value Pool</t>
  </si>
  <si>
    <t xml:space="preserve">   Interest on ATO debts</t>
  </si>
  <si>
    <t>Item L1 : Prior Year Losses</t>
  </si>
  <si>
    <t xml:space="preserve">   Eligibility is restricted to only some people who receive a Govt pension. If you have completed the</t>
  </si>
  <si>
    <t xml:space="preserve">   Eligibility is restricted to only some people who receive a Govt super pension and/or receive</t>
  </si>
  <si>
    <t xml:space="preserve">   any other super pension before they turn age 60. This is often shown on a super pension</t>
  </si>
  <si>
    <t xml:space="preserve">   A tax offset may be available to some taxpayers who make a contribution to their spouse super account.</t>
  </si>
  <si>
    <t xml:space="preserve">   Did you earn income and reside in a remote zone for 183 days + (continuity is not required)</t>
  </si>
  <si>
    <t xml:space="preserve">   This offset is being phased out and only a un-utilised amount that has carried forward can be claimed.</t>
  </si>
  <si>
    <t>Gross</t>
  </si>
  <si>
    <t>Tax</t>
  </si>
  <si>
    <t>Fringe Ben</t>
  </si>
  <si>
    <t>Reportable Super</t>
  </si>
  <si>
    <t>Provide a copy of the tax report issued by the fund.</t>
  </si>
  <si>
    <t>B. Logbook Method</t>
  </si>
  <si>
    <t>Rate is now a standard fixed rate of 66cents. Engine size is not required.</t>
  </si>
  <si>
    <t>Travel between home and work is not eligible (ie FIFO workers)</t>
  </si>
  <si>
    <t>Payments made during year for tax prep or advice incl a Quantity Surveyor report</t>
  </si>
  <si>
    <t>Item T1 : Senior &amp; Pensioners</t>
  </si>
  <si>
    <t>Item T2 : Super Pension</t>
  </si>
  <si>
    <t>Item T3 : Super Contributions for spouse</t>
  </si>
  <si>
    <t>Item T4 : Zone or Overseas Forces Offset</t>
  </si>
  <si>
    <t>Item T5 : Net Medical Expenses</t>
  </si>
  <si>
    <t>Item T6 : Dependent (invalid + carer offset)</t>
  </si>
  <si>
    <t>Item T7 : Landcare &amp; Water Facilities</t>
  </si>
  <si>
    <t>Item T8/9 : Other Tax Offsets</t>
  </si>
  <si>
    <t xml:space="preserve">    Other offsets that are refundable or non-refundable. Provide details if you consider you are eligible.</t>
  </si>
  <si>
    <t>Interest  on Money used to acquire THIS property Loan 1</t>
  </si>
  <si>
    <t>Interest  on Money used to acquire THIS property Loan 2</t>
  </si>
  <si>
    <t>Interest  on Money used to acquire THIS property Loan 3</t>
  </si>
  <si>
    <t>Complete this table in full please :</t>
  </si>
  <si>
    <r>
      <rPr>
        <b/>
        <sz val="12"/>
        <rFont val="Arial"/>
        <family val="2"/>
      </rPr>
      <t>Guide</t>
    </r>
    <r>
      <rPr>
        <sz val="12"/>
        <rFont val="Arial"/>
        <family val="2"/>
      </rPr>
      <t xml:space="preserve"> : </t>
    </r>
  </si>
  <si>
    <r>
      <rPr>
        <b/>
        <sz val="12"/>
        <rFont val="Arial"/>
        <family val="2"/>
      </rPr>
      <t>Guide</t>
    </r>
    <r>
      <rPr>
        <sz val="12"/>
        <rFont val="Arial"/>
        <family val="2"/>
      </rPr>
      <t xml:space="preserve"> :</t>
    </r>
  </si>
  <si>
    <r>
      <rPr>
        <b/>
        <sz val="12"/>
        <rFont val="Arial"/>
        <family val="2"/>
      </rPr>
      <t>Guide</t>
    </r>
    <r>
      <rPr>
        <sz val="12"/>
        <rFont val="Arial"/>
        <family val="2"/>
      </rPr>
      <t xml:space="preserve"> : The Commonwealth no longer issues payment summaries</t>
    </r>
  </si>
  <si>
    <t>Did you receive an ETP ?</t>
  </si>
  <si>
    <t>Did you receive a Govt allowance ?</t>
  </si>
  <si>
    <t>Interest earned is taxed when received.</t>
  </si>
  <si>
    <t xml:space="preserve">   'shares., property etc?</t>
  </si>
  <si>
    <t xml:space="preserve"> Have you earned income from any sources as a sole trader, ABN etc?</t>
  </si>
  <si>
    <t xml:space="preserve">   If no, provide summary of all travel costs not reimbursed.</t>
  </si>
  <si>
    <t>Many overseas pensions include an element of personal savings. This reduces the</t>
  </si>
  <si>
    <t>Medicare + Private Health + HECS/HELP + Other</t>
  </si>
  <si>
    <t>Surname / Last Name</t>
  </si>
  <si>
    <t>Middle Name</t>
  </si>
  <si>
    <t>Home Street Address Line 1</t>
  </si>
  <si>
    <t>Home Street Address Line 2</t>
  </si>
  <si>
    <t>Suburb</t>
  </si>
  <si>
    <t>State</t>
  </si>
  <si>
    <t>PostCode</t>
  </si>
  <si>
    <t>Country (If Not Australia)</t>
  </si>
  <si>
    <t>Tax File Number</t>
  </si>
  <si>
    <t>Date of Birth</t>
  </si>
  <si>
    <t>Tax Resident</t>
  </si>
  <si>
    <t xml:space="preserve">$ </t>
  </si>
  <si>
    <t>Tax Refunds - Bank details</t>
  </si>
  <si>
    <t xml:space="preserve"> - BSB</t>
  </si>
  <si>
    <t xml:space="preserve"> - Account Number</t>
  </si>
  <si>
    <t>advise date residency changed :</t>
  </si>
  <si>
    <t>and reason :</t>
  </si>
  <si>
    <t>No of Children</t>
  </si>
  <si>
    <t>PO Boxes etc cannot be shown on a tax return</t>
  </si>
  <si>
    <t xml:space="preserve">Email address </t>
  </si>
  <si>
    <t>Mobile Phone</t>
  </si>
  <si>
    <t>GUIDANCE INFORMATION</t>
  </si>
  <si>
    <t>Taxpayer Two should be a defacto or spouse</t>
  </si>
  <si>
    <t xml:space="preserve">or date you ceased to be a tax resident. </t>
  </si>
  <si>
    <t>If resident all year ignore this question</t>
  </si>
  <si>
    <t>If NOT a tax resident all year, please</t>
  </si>
  <si>
    <t>May affect some family income tests.</t>
  </si>
  <si>
    <t>If either of you paid child maintenance</t>
  </si>
  <si>
    <t>during the year - How much ?</t>
  </si>
  <si>
    <t xml:space="preserve"> - Account name/s</t>
  </si>
  <si>
    <t>Otherwise use a separate checklist please</t>
  </si>
  <si>
    <t xml:space="preserve"> - Their taxable income</t>
  </si>
  <si>
    <t xml:space="preserve"> - Any child maintenance they paid</t>
  </si>
  <si>
    <t xml:space="preserve"> - Reportable super (PAYG Summy)</t>
  </si>
  <si>
    <t xml:space="preserve"> - Reportable fringe benefits (PAYG Summy)</t>
  </si>
  <si>
    <t>Did you receive a Govt pension that is taxable OR exempt ?</t>
  </si>
  <si>
    <t xml:space="preserve">   Summary labelled as Attributed PSI</t>
  </si>
  <si>
    <t>If you have a report from a broker or fund manager then DO NOT complete</t>
  </si>
  <si>
    <r>
      <rPr>
        <b/>
        <sz val="12"/>
        <rFont val="Arial"/>
        <family val="2"/>
      </rPr>
      <t>Guide</t>
    </r>
    <r>
      <rPr>
        <sz val="12"/>
        <rFont val="Arial"/>
        <family val="2"/>
      </rPr>
      <t xml:space="preserve"> : Complete a rental schedule for EACH property. </t>
    </r>
  </si>
  <si>
    <r>
      <t xml:space="preserve">  </t>
    </r>
    <r>
      <rPr>
        <sz val="12"/>
        <color theme="0" tint="-0.34998626667073579"/>
        <rFont val="Arial"/>
        <family val="2"/>
      </rPr>
      <t xml:space="preserve"> </t>
    </r>
    <r>
      <rPr>
        <i/>
        <sz val="12"/>
        <color theme="0" tint="-0.34998626667073579"/>
        <rFont val="Arial"/>
        <family val="2"/>
      </rPr>
      <t xml:space="preserve">Explanation  of your car use </t>
    </r>
  </si>
  <si>
    <t xml:space="preserve">      Was all the travel in one car ?</t>
  </si>
  <si>
    <t xml:space="preserve">      Car Rego #</t>
  </si>
  <si>
    <t xml:space="preserve">      No of work KMs</t>
  </si>
  <si>
    <t xml:space="preserve">      Method used to determine</t>
  </si>
  <si>
    <t>Diary, etc calculation</t>
  </si>
  <si>
    <t>Refer to summary below</t>
  </si>
  <si>
    <t>D1 Logbook Method</t>
  </si>
  <si>
    <t>Car rego #</t>
  </si>
  <si>
    <t xml:space="preserve">Date Acquired </t>
  </si>
  <si>
    <t>Cost of Vehicle</t>
  </si>
  <si>
    <t>Depreciation</t>
  </si>
  <si>
    <t>Interest</t>
  </si>
  <si>
    <t>Fuel cost</t>
  </si>
  <si>
    <t>Use either annual actual or estimate based on total spend / consumption etc</t>
  </si>
  <si>
    <t>Insurance</t>
  </si>
  <si>
    <t>Rego</t>
  </si>
  <si>
    <t>Rego + CTP + Inspection costs</t>
  </si>
  <si>
    <t>Repairs</t>
  </si>
  <si>
    <t>All repairs incl service, tyres etc. NOT improvements</t>
  </si>
  <si>
    <t xml:space="preserve">   Include work related TOLLS here. Not travel to/from work</t>
  </si>
  <si>
    <t>Provide details of assets costing both under and over $300 and the date / cost</t>
  </si>
  <si>
    <t>Do not provide property depreciation information here.</t>
  </si>
  <si>
    <t>Logbook %</t>
  </si>
  <si>
    <t>Date of Logbook</t>
  </si>
  <si>
    <t>If you changed vehicle during the year also complete new vehicle information :</t>
  </si>
  <si>
    <t>Provide summary of finance terms</t>
  </si>
  <si>
    <t>If so provide new vehicle sale contract OR details of sales price etc</t>
  </si>
  <si>
    <t>Was the old vehicle sold / traded in ?</t>
  </si>
  <si>
    <t>Car Model</t>
  </si>
  <si>
    <t>Car insurance policy, NOT CTP</t>
  </si>
  <si>
    <t xml:space="preserve">   Laundry of uniform ?</t>
  </si>
  <si>
    <t xml:space="preserve">Not a preliminary course of study. </t>
  </si>
  <si>
    <t>Reliance on ATO data can be unreliable for employee share schemes</t>
  </si>
  <si>
    <t>Non-passive income that is earned by personal efforts. This may involve selling, consulting or contracting and use of a ABN</t>
  </si>
  <si>
    <t>Is all such income - Business Income ?</t>
  </si>
  <si>
    <t xml:space="preserve">No. Complex rules can sometimes treat business income as if it was personally earned. These rules are called </t>
  </si>
  <si>
    <t>personal service income rules (PSI). If you have PSI some deductions are limited or have special rules.</t>
  </si>
  <si>
    <t>If my business produces a loss - Can it offset other income ?</t>
  </si>
  <si>
    <t>P2</t>
  </si>
  <si>
    <t>Please complete this information</t>
  </si>
  <si>
    <t>Did the business end this year ?</t>
  </si>
  <si>
    <t>Business Trading Name</t>
  </si>
  <si>
    <t xml:space="preserve">ABN </t>
  </si>
  <si>
    <t>Address where business is conducted</t>
  </si>
  <si>
    <t>Entity Type</t>
  </si>
  <si>
    <t>Trading Stock</t>
  </si>
  <si>
    <t>Does the business hold trading stock for sale. This may include shares regularly traded</t>
  </si>
  <si>
    <t>or other inventory for sale</t>
  </si>
  <si>
    <t>P8</t>
  </si>
  <si>
    <t>Trading Results</t>
  </si>
  <si>
    <t>other software (Xero, MYOB etc) reports may be of assistance.</t>
  </si>
  <si>
    <t>Questions</t>
  </si>
  <si>
    <t>Do you receive more than 80% of income from one source ?</t>
  </si>
  <si>
    <t>Do you operate the business from your home ?</t>
  </si>
  <si>
    <t>Do your expenses include any spouse / partner payments ?</t>
  </si>
  <si>
    <t>The reports should also indicate details of any assets written off or eligible for depreciation</t>
  </si>
  <si>
    <t>Did you claim car costs ?</t>
  </si>
  <si>
    <t xml:space="preserve"> - If so, did you adjust the deduction amount for logbook %</t>
  </si>
  <si>
    <t>Do any of the expenses include private costs or a private %</t>
  </si>
  <si>
    <t>Is any rent for your own home shown as deductible ?</t>
  </si>
  <si>
    <t>Describe what do you do / sell or produce ?</t>
  </si>
  <si>
    <t>Did the business commence this year ?</t>
  </si>
  <si>
    <t xml:space="preserve">Is the loan amount the same as previously </t>
  </si>
  <si>
    <t>Total loan fees incurred to refinance this</t>
  </si>
  <si>
    <t>Was there a break cost for THIS loan</t>
  </si>
  <si>
    <t>What was the loan start date</t>
  </si>
  <si>
    <t>What was the total borrowing expense at that time</t>
  </si>
  <si>
    <t>Letting or other fee paid by tenant (ie water)</t>
  </si>
  <si>
    <t>New Costs to add to Depreciation and Cap Allowances</t>
  </si>
  <si>
    <t>Date completed</t>
  </si>
  <si>
    <t>Please show the installed cost. Eg Oven $800 + $300 Install = $1100</t>
  </si>
  <si>
    <t>Initial repairs are non-deductible. May be depreciable</t>
  </si>
  <si>
    <t>Can include tree removal etc if existing tenancy</t>
  </si>
  <si>
    <t>(If the refinance was to buy a new property the costs may need be applied to that new property instead of this property)</t>
  </si>
  <si>
    <t>Break costs (Fixed to variable loan)</t>
  </si>
  <si>
    <t>Deductible unless broken to dispose of property. Discuss</t>
  </si>
  <si>
    <t>NOT DEDUCTIBLE………………….</t>
  </si>
  <si>
    <t>Repairs &amp; Maintenance incl Tenant damage / wear</t>
  </si>
  <si>
    <t>Do NOT include depreciable items replaced here</t>
  </si>
  <si>
    <t>Add further details or a summary if required. If any costs are included on a QS report do not include them to avoid duplication</t>
  </si>
  <si>
    <t>we will require the following information</t>
  </si>
  <si>
    <r>
      <t>TAXPAYER ONE</t>
    </r>
    <r>
      <rPr>
        <b/>
        <sz val="12"/>
        <color rgb="FFFFFF00"/>
        <rFont val="Arial"/>
        <family val="2"/>
      </rPr>
      <t xml:space="preserve"> (T1)</t>
    </r>
  </si>
  <si>
    <r>
      <t xml:space="preserve">TAXPAYER TWO </t>
    </r>
    <r>
      <rPr>
        <b/>
        <sz val="12"/>
        <color rgb="FFFFFF00"/>
        <rFont val="Arial"/>
        <family val="2"/>
      </rPr>
      <t>(T2)</t>
    </r>
  </si>
  <si>
    <t>Taxpayer One (T1)</t>
  </si>
  <si>
    <t>Do not include interest to acquire shares held for profit. Include as a CGT related cost.</t>
  </si>
  <si>
    <t>No logbook needed. Diary or other reasonable record or calc of trips</t>
  </si>
  <si>
    <t xml:space="preserve">   PAYG Summary. Persons aged 60+ may be ineligible other than Govt super pensions.</t>
  </si>
  <si>
    <r>
      <t xml:space="preserve">Taxpayer One </t>
    </r>
    <r>
      <rPr>
        <b/>
        <sz val="12"/>
        <color rgb="FFFFFF00"/>
        <rFont val="Arial"/>
        <family val="2"/>
      </rPr>
      <t>(T1)</t>
    </r>
  </si>
  <si>
    <r>
      <t xml:space="preserve">Taxpayer One </t>
    </r>
    <r>
      <rPr>
        <b/>
        <sz val="12"/>
        <color rgb="FFFFFF00"/>
        <rFont val="Arial"/>
        <family val="2"/>
      </rPr>
      <t>(T2)</t>
    </r>
  </si>
  <si>
    <t>Business - Item 15 Taxpayer One (T1)</t>
  </si>
  <si>
    <t>Warning - Many employers can be slow to provide this information.</t>
  </si>
  <si>
    <r>
      <rPr>
        <b/>
        <sz val="12"/>
        <rFont val="Arial"/>
        <family val="2"/>
      </rPr>
      <t>Guide</t>
    </r>
    <r>
      <rPr>
        <sz val="12"/>
        <rFont val="Arial"/>
        <family val="2"/>
      </rPr>
      <t xml:space="preserve"> : </t>
    </r>
    <r>
      <rPr>
        <i/>
        <sz val="12"/>
        <rFont val="Arial"/>
        <family val="2"/>
      </rPr>
      <t>Provide year-end tax reports from the fund / investment manager. Often issued by late August</t>
    </r>
  </si>
  <si>
    <t>If you have a trust a entity checklist should be completed.</t>
  </si>
  <si>
    <t>so please provide that and describe eg CBA ESS</t>
  </si>
  <si>
    <t xml:space="preserve">Type : </t>
  </si>
  <si>
    <t>pensions. A tax offset T2 may be available</t>
  </si>
  <si>
    <t xml:space="preserve">   How many ?</t>
  </si>
  <si>
    <t>No :</t>
  </si>
  <si>
    <r>
      <rPr>
        <b/>
        <sz val="12"/>
        <rFont val="Arial"/>
        <family val="2"/>
      </rPr>
      <t>Guide</t>
    </r>
    <r>
      <rPr>
        <sz val="12"/>
        <rFont val="Arial"/>
        <family val="2"/>
      </rPr>
      <t xml:space="preserve"> : Provide the payment summaries.</t>
    </r>
  </si>
  <si>
    <r>
      <rPr>
        <b/>
        <sz val="12"/>
        <rFont val="Arial"/>
        <family val="2"/>
      </rPr>
      <t>Guide</t>
    </r>
    <r>
      <rPr>
        <sz val="12"/>
        <rFont val="Arial"/>
        <family val="2"/>
      </rPr>
      <t xml:space="preserve"> : Provide details of ANY other issues that you consider could be income. </t>
    </r>
  </si>
  <si>
    <t>Or include QS report fee costs with the rental property.</t>
  </si>
  <si>
    <t>taxable amount of the pension or annuity. Provide details often shown on pension records.</t>
  </si>
  <si>
    <t>Did you contribute to super (not salary sacrifice)</t>
  </si>
  <si>
    <t>Guide</t>
  </si>
  <si>
    <t>Provide information. Most income insurers issue a letter at end of financial year to confirm the amount due</t>
  </si>
  <si>
    <t>Total Annual Cost or for period owned</t>
  </si>
  <si>
    <t>Note : If rego paid on acquisition the whole sum (except duty) is deductible when paid</t>
  </si>
  <si>
    <t>Whole premium deductible when paid., or monthly when paid</t>
  </si>
  <si>
    <t>Exclude fittings and extras. These may add to depreciation.</t>
  </si>
  <si>
    <t>HELP / Student Debt</t>
  </si>
  <si>
    <t>This question applies to ALL persons in the taxpayer family incl T1, T2 and their dependants.</t>
  </si>
  <si>
    <t xml:space="preserve">Did you ALL have private health insurance ? </t>
  </si>
  <si>
    <t>If one is covered and not the other please advise this.</t>
  </si>
  <si>
    <t>If acquired prior to this tax year - Was property refinanced this year ?</t>
  </si>
  <si>
    <t>If refinanced this year was the loan increased ?</t>
  </si>
  <si>
    <t>Date property acquired :</t>
  </si>
  <si>
    <t>Guidance Notes</t>
  </si>
  <si>
    <t>Rent - Collected by Agent/s</t>
  </si>
  <si>
    <t>Rent - Collected by Owner/s</t>
  </si>
  <si>
    <t>Is this property NRAS ?</t>
  </si>
  <si>
    <t xml:space="preserve"> If it is, do you have the certificate for annual incentives yet ?</t>
  </si>
  <si>
    <t xml:space="preserve"> What is the State Incentive Amount ?</t>
  </si>
  <si>
    <t xml:space="preserve"> What is the Commonwealth Tax Credit Amount ?</t>
  </si>
  <si>
    <t>Ownership of property</t>
  </si>
  <si>
    <t>%</t>
  </si>
  <si>
    <t>Full name/s of all owners and their % share of title is essential</t>
  </si>
  <si>
    <t>Name of Owner 2</t>
  </si>
  <si>
    <t>Name of Owner 3</t>
  </si>
  <si>
    <t>Name of Owner 4</t>
  </si>
  <si>
    <t>Income and Expenses Summary for this property</t>
  </si>
  <si>
    <t>If a new IP but not acquired this year, was this a former home ?</t>
  </si>
  <si>
    <r>
      <t xml:space="preserve">  If so, do you know its market value on the date it </t>
    </r>
    <r>
      <rPr>
        <b/>
        <i/>
        <sz val="12"/>
        <rFont val="Arial"/>
        <family val="2"/>
      </rPr>
      <t>first earned</t>
    </r>
    <r>
      <rPr>
        <sz val="12"/>
        <rFont val="Arial"/>
        <family val="2"/>
      </rPr>
      <t xml:space="preserve"> rent ?</t>
    </r>
  </si>
  <si>
    <t>Bond retained for damage etc only. Also show repair costs below.</t>
  </si>
  <si>
    <t>All tenant contributions to costs are to be shown here</t>
  </si>
  <si>
    <t>Ensure the repairs etc is also shown below.</t>
  </si>
  <si>
    <t>Legal fees - lease, tenant issues, tribunal etc</t>
  </si>
  <si>
    <t>Show the % of annual fee relating to discounts for this property v's others</t>
  </si>
  <si>
    <t>Bank lender monthly fees etc eg $8pm x 12= $96</t>
  </si>
  <si>
    <t>Borrowing Expenses - Monthly Fees</t>
  </si>
  <si>
    <t>Borrowing Expenses</t>
  </si>
  <si>
    <t>Answers No may be incorrect unless new funds were to improve or renovate.</t>
  </si>
  <si>
    <t>Eg Break a fixed loan</t>
  </si>
  <si>
    <t>Not for initial tenancy. Between or after tenancy</t>
  </si>
  <si>
    <t>Quantity Surveyor Report Fee</t>
  </si>
  <si>
    <t>Only show cost if a new report was obtained and paid this tax year</t>
  </si>
  <si>
    <t>Do NOT show initial P&amp;B or initial repairs here</t>
  </si>
  <si>
    <t>Total borrowing expenses</t>
  </si>
  <si>
    <t>Is loan term greater than 5 years ?</t>
  </si>
  <si>
    <t>Do NOT include stamp duty or property settlement legal costs</t>
  </si>
  <si>
    <t>Include premiums paid in period. Do not adjust for period of time</t>
  </si>
  <si>
    <t>New acquisition only. Include strata levy settlement adjustment from lawyers settlement here</t>
  </si>
  <si>
    <t>Do not include strata adjustments on new property acquisition. Include below 2 lines below</t>
  </si>
  <si>
    <t>Do not include rates adjustments on new acquisitions here. Include next row</t>
  </si>
  <si>
    <t>Body Corp / Strata - For newly acquired property (only)</t>
  </si>
  <si>
    <t>Council rates - For newly acquired property (only)</t>
  </si>
  <si>
    <t>New acquisition only. Include rates adjustment from lawyers settlement here</t>
  </si>
  <si>
    <t>Water - For newly acquired property (only)</t>
  </si>
  <si>
    <t>Include costs paid. If tenant reimbursed include that as income. Incl QLD fee for reading</t>
  </si>
  <si>
    <t>New acquisition only. Include upwards water adjustment from lawyers settlement here</t>
  </si>
  <si>
    <t>Sex</t>
  </si>
  <si>
    <t>Yes</t>
  </si>
  <si>
    <t>No</t>
  </si>
  <si>
    <r>
      <rPr>
        <b/>
        <i/>
        <sz val="12"/>
        <rFont val="Arial"/>
        <family val="2"/>
      </rPr>
      <t>Guide</t>
    </r>
    <r>
      <rPr>
        <i/>
        <sz val="12"/>
        <rFont val="Arial"/>
        <family val="2"/>
      </rPr>
      <t xml:space="preserve"> : Upload copies of each PAYG Summary</t>
    </r>
  </si>
  <si>
    <t>Please enter</t>
  </si>
  <si>
    <t>Yes or No ?</t>
  </si>
  <si>
    <t>Please answer</t>
  </si>
  <si>
    <r>
      <t xml:space="preserve">May affect some family income tests. </t>
    </r>
    <r>
      <rPr>
        <b/>
        <i/>
        <sz val="12"/>
        <rFont val="Arial"/>
        <family val="2"/>
      </rPr>
      <t>If none paid - Ignore</t>
    </r>
  </si>
  <si>
    <t>Ignore this column for a single taxpayer</t>
  </si>
  <si>
    <t>Relationship of Taxpayer 2 to Taxpayer 1</t>
  </si>
  <si>
    <t>Taxpayer Two (T2)</t>
  </si>
  <si>
    <t>Borrowing expenses may be impacted. Refer below</t>
  </si>
  <si>
    <t>Overnight and travel allowances may or may not be shown on PAYG summary.</t>
  </si>
  <si>
    <t>We need to determine what the allowance/s are for, to determine if a deduction is allowed</t>
  </si>
  <si>
    <t>Did you receive a lump sum ?</t>
  </si>
  <si>
    <t>Did you receive a super lump sum on withdrawal ?</t>
  </si>
  <si>
    <t>If you have employee shares issued ensure you check and provide an ESS PAYG Summary</t>
  </si>
  <si>
    <t>Do you have a direct or indirect control of a foreign company ?</t>
  </si>
  <si>
    <t>Have you transferred any money or property to a foreign trust?</t>
  </si>
  <si>
    <t>Have you earned any income with a foreign source ?</t>
  </si>
  <si>
    <t>Do you own or own a share in any rental property ?</t>
  </si>
  <si>
    <t>Have you received a life or friendly society bonus?</t>
  </si>
  <si>
    <t>Item 23: Forestry Managed Scheme Income</t>
  </si>
  <si>
    <t>Do you have an interest in a forestry scheme that has paid income?</t>
  </si>
  <si>
    <t>Depreciable work use items from a prior year or acquired this year.</t>
  </si>
  <si>
    <t>Sole Traders only</t>
  </si>
  <si>
    <t>Provide land tax invoice if unsure on apportioning multiple IPs</t>
  </si>
  <si>
    <t xml:space="preserve">  </t>
  </si>
  <si>
    <r>
      <rPr>
        <b/>
        <sz val="12"/>
        <rFont val="Arial"/>
        <family val="2"/>
      </rPr>
      <t>Guide</t>
    </r>
    <r>
      <rPr>
        <sz val="12"/>
        <rFont val="Arial"/>
        <family val="2"/>
      </rPr>
      <t xml:space="preserve"> : Provide copy of the partnership records and tax return</t>
    </r>
  </si>
  <si>
    <t xml:space="preserve"> - Their net rental or investment losses</t>
  </si>
  <si>
    <t>Travel - Any purpose, any reason = Non-deductible</t>
  </si>
  <si>
    <t>New finance fees - For a new property generally. If new borrowing for new IP using equity include on THAT property. Not here</t>
  </si>
  <si>
    <t>Details :</t>
  </si>
  <si>
    <t>Depreciation from Quantity Surveyor report</t>
  </si>
  <si>
    <t>Explain if not available for the whole period, Change dates please</t>
  </si>
  <si>
    <t>Bond retained (damage) NOT bond received for new tenant</t>
  </si>
  <si>
    <t>Insurance claim for lost rent / damage etc</t>
  </si>
  <si>
    <t>This is assessable when received. Also sho repair costs. If insurer rectified damage then ignore issue</t>
  </si>
  <si>
    <t>Special levies may increase QS depreciation if amended by QS after completion of works</t>
  </si>
  <si>
    <t>Do not include capital allowances (Div 43). Include that below.</t>
  </si>
  <si>
    <t>Interest  paid to vendor on settlement (delayed)</t>
  </si>
  <si>
    <t>Do NOT show legal costs to buy a new property. It is a CGT cost</t>
  </si>
  <si>
    <t>Borrowing Expenses - Annual Loyalty / Package Fee</t>
  </si>
  <si>
    <t>Property Agent (incl GST) incl letting fees</t>
  </si>
  <si>
    <t>Asbestos removal costs</t>
  </si>
  <si>
    <t>A specific deduction for removing asbestos may be available</t>
  </si>
  <si>
    <t>Advise details: Indicate if item is second hand please</t>
  </si>
  <si>
    <t>If so, the new loan may be deductible against the new IP or new investment. Or Non-deductible. Info reqd</t>
  </si>
  <si>
    <t>Do not include insurances in super</t>
  </si>
  <si>
    <t xml:space="preserve">details ie Primary school teacher </t>
  </si>
  <si>
    <t>You MUST have and provide the logbook</t>
  </si>
  <si>
    <t>A spouse includes married, defacto &amp; same sex relationships.</t>
  </si>
  <si>
    <t xml:space="preserve">Please complete this information to avoid errors. </t>
  </si>
  <si>
    <t>Spouses MUST complete this section and it is not a optional choice</t>
  </si>
  <si>
    <t>Unless otherwise stated where all deductions exceed $300 ALL claims must be supported by evidence</t>
  </si>
  <si>
    <t>Does not apply to Australian age or super pensions - Only foreign pensions</t>
  </si>
  <si>
    <t xml:space="preserve">   FlyIn-FlyOut workers cannot claim a zone allowance. Check locations in the above list</t>
  </si>
  <si>
    <t>Misc items (e.g. Laundry, small items, stationery etc.)</t>
  </si>
  <si>
    <t>7 Rosella Close, Mount Sheridan QLD 4868</t>
  </si>
  <si>
    <t>Donation to registered Charity</t>
  </si>
  <si>
    <t>T1 Deductions Tab, Item D4 : Work Related Self Education Expenses</t>
  </si>
  <si>
    <t>T1 Deductions Tab, Item D5 : All Other Work Related Expenses</t>
  </si>
  <si>
    <t>T1 Deductions Tab, Item D9 : Gifts / Donations</t>
  </si>
  <si>
    <t>T1 Deductions Tab, Item D10 : Costs of Managing tax Affairs</t>
  </si>
  <si>
    <t>Yes/ No</t>
  </si>
  <si>
    <t>If you are NOT completing a spouse return</t>
  </si>
  <si>
    <t>xxx</t>
  </si>
  <si>
    <t>this section. Upload the report.</t>
  </si>
  <si>
    <r>
      <rPr>
        <b/>
        <sz val="12"/>
        <rFont val="Arial"/>
        <family val="2"/>
      </rPr>
      <t>Guide</t>
    </r>
    <r>
      <rPr>
        <sz val="12"/>
        <rFont val="Arial"/>
        <family val="2"/>
      </rPr>
      <t xml:space="preserve"> : n/a</t>
    </r>
  </si>
  <si>
    <r>
      <rPr>
        <b/>
        <sz val="12"/>
        <rFont val="Arial"/>
        <family val="2"/>
      </rPr>
      <t>Guide</t>
    </r>
    <r>
      <rPr>
        <sz val="12"/>
        <rFont val="Arial"/>
        <family val="2"/>
      </rPr>
      <t xml:space="preserve"> : Provide business income and expense details using the specific tab in this checklist</t>
    </r>
  </si>
  <si>
    <r>
      <rPr>
        <b/>
        <sz val="12"/>
        <rFont val="Arial"/>
        <family val="2"/>
      </rPr>
      <t>Guide</t>
    </r>
    <r>
      <rPr>
        <sz val="12"/>
        <rFont val="Arial"/>
        <family val="2"/>
      </rPr>
      <t xml:space="preserve"> : This may be shown on your prior return.</t>
    </r>
  </si>
  <si>
    <t>Assume such events may be a CGT event.</t>
  </si>
  <si>
    <t>Please send accountant reports or other summaries or relevant records</t>
  </si>
  <si>
    <r>
      <rPr>
        <b/>
        <sz val="12"/>
        <rFont val="Arial"/>
        <family val="2"/>
      </rPr>
      <t>Guide</t>
    </r>
    <r>
      <rPr>
        <sz val="12"/>
        <rFont val="Arial"/>
        <family val="2"/>
      </rPr>
      <t xml:space="preserve"> : Provide details of deposits and repayments for eligible schemes</t>
    </r>
  </si>
  <si>
    <r>
      <rPr>
        <b/>
        <sz val="12"/>
        <rFont val="Arial"/>
        <family val="2"/>
      </rPr>
      <t>Guide</t>
    </r>
    <r>
      <rPr>
        <sz val="12"/>
        <rFont val="Arial"/>
        <family val="2"/>
      </rPr>
      <t xml:space="preserve"> : </t>
    </r>
    <r>
      <rPr>
        <i/>
        <sz val="12"/>
        <rFont val="Arial"/>
        <family val="2"/>
      </rPr>
      <t>Provide Quantity Surveyors Report for each property</t>
    </r>
  </si>
  <si>
    <t>Please complete all information shaded orange</t>
  </si>
  <si>
    <t>Tip : Max 5,000km per vehicle. Two or more vehicles may be eligible</t>
  </si>
  <si>
    <t>Current logbook needed. Ie within 4 years for min 12 weeks.</t>
  </si>
  <si>
    <t>Send accountant copy of logbook, Depreciation, loan interest, fuel, repairs, rego, insurances etc</t>
  </si>
  <si>
    <t>Complete the summary below (this tab)</t>
  </si>
  <si>
    <t>in a hotel, motel or similar accomodation. Provide details</t>
  </si>
  <si>
    <t>For any items costing $300+ they may need to be depreciated. Please complete D6</t>
  </si>
  <si>
    <t>N/a</t>
  </si>
  <si>
    <r>
      <t xml:space="preserve">Check receipts. Is it tax deductible ? </t>
    </r>
    <r>
      <rPr>
        <b/>
        <sz val="12"/>
        <rFont val="Arial"/>
        <family val="2"/>
      </rPr>
      <t>If any are $1,000 or more please send accountant the receipt</t>
    </r>
  </si>
  <si>
    <t>Employee taxpayers may not be eligible to claim this deduction</t>
  </si>
  <si>
    <t>have made a super contribution during the year advise accountant and they can guide eligibility.</t>
  </si>
  <si>
    <t xml:space="preserve">   Income protection insurance, not life insurance</t>
  </si>
  <si>
    <t>Please advise accountant if you believe prior losses are available (ie non-commercial losses etc)</t>
  </si>
  <si>
    <t>FURTHER INFORMATION ON D1</t>
  </si>
  <si>
    <t>Accountant will calculate</t>
  </si>
  <si>
    <t>Accountant will need a copy of the logbook. Estimated logbook use is NOT acceptable</t>
  </si>
  <si>
    <t>Provide the invoice if available</t>
  </si>
  <si>
    <t>Tax Offsets are a credit that reduces tax payable, if any</t>
  </si>
  <si>
    <t>TAXPAYER INFORMATION</t>
  </si>
  <si>
    <t>TAX OFFSETS</t>
  </si>
  <si>
    <t xml:space="preserve">   pension income item accountant would calculate eligibility.</t>
  </si>
  <si>
    <t xml:space="preserve">   ADF personnel should provide accountant with information if they are eligible incl postcodes and dates of residency</t>
  </si>
  <si>
    <t xml:space="preserve">   ONLY eligible for aged care services and disability support devices (eg wheelchair, CPAP etc)</t>
  </si>
  <si>
    <t xml:space="preserve">   If you maintain a family member (incl spouse) who is an invalid or a carer you may be entitled to this </t>
  </si>
  <si>
    <t xml:space="preserve">   tax offset.</t>
  </si>
  <si>
    <t>ADDITIONAL INFO TAB - TAXPAYER ONE (T1)</t>
  </si>
  <si>
    <t>Tax return</t>
  </si>
  <si>
    <t>Enter Additional Information below here (examples provided)</t>
  </si>
  <si>
    <t xml:space="preserve">Statista Subscription - Directly related to maintaining skillset related to my profession of xxx </t>
  </si>
  <si>
    <t>ADDITIONAL INFO TAB - TAXPAYER TWO (T2)</t>
  </si>
  <si>
    <t>This section should ONLY be used by individuals in Business as a sole trader. Do not include property rent here.</t>
  </si>
  <si>
    <t>What do we mean by business?</t>
  </si>
  <si>
    <t>Sometimes. Your accountant will discuss this and review eligibility. You may need to meet a test.</t>
  </si>
  <si>
    <t>All other entities use, speak to accountant seperately</t>
  </si>
  <si>
    <t>Provide a summary of operating income and expenses. You can provide a report from excel, send accountant the file or if you use</t>
  </si>
  <si>
    <t>If you have trading stock provide accountant with details of the calculated VALUE of stock held at 30 June 2017</t>
  </si>
  <si>
    <t>Responses to these questions may require accountant discussion</t>
  </si>
  <si>
    <t>Business - Item 15 Taxpayer TWO (T2)</t>
  </si>
  <si>
    <t>The ATO will provide accountant with this info</t>
  </si>
  <si>
    <t>If multiple policies are held (ie T1 / T2 each different) accountant requires BOTH policy statements.</t>
  </si>
  <si>
    <t>Property 1</t>
  </si>
  <si>
    <t>This can affect CGT costbase</t>
  </si>
  <si>
    <t>Must add to 100%</t>
  </si>
  <si>
    <t>Generally entered from annual agent summary</t>
  </si>
  <si>
    <t>This assists accountant to address agent fees inconsistencies etc</t>
  </si>
  <si>
    <t>Lender name :________________ Account No :_________________</t>
  </si>
  <si>
    <t>Travel cannot be included in capital costs, deductions or repair costs</t>
  </si>
  <si>
    <t>Refinance Expenses (this financial year). For new acquisitions please provide lender information instead</t>
  </si>
  <si>
    <t>Accountant will calculate a deduction based on loan term OR 60 months (shorter) and include a schedule in return.</t>
  </si>
  <si>
    <t>25/1/2016</t>
  </si>
  <si>
    <t>Approximate refund due from ATO</t>
  </si>
  <si>
    <t>&lt; Insert your tax rate</t>
  </si>
  <si>
    <t>Date settled</t>
  </si>
  <si>
    <t>Ensure accountant is provided with this. Upload ONCE when new OR replaced</t>
  </si>
  <si>
    <t>Repairs &amp; Maintenance - Before tenant</t>
  </si>
  <si>
    <t>Include ALL bank fees for the loan incl appn, broker, valuation, legals by bank and LMI. Provide accountant with lender letter</t>
  </si>
  <si>
    <t>Property 2</t>
  </si>
  <si>
    <t>Property 3</t>
  </si>
  <si>
    <t>Property 4</t>
  </si>
  <si>
    <t>Property 5</t>
  </si>
  <si>
    <t>Address</t>
  </si>
  <si>
    <t>Accountant needs to determine date you commenced to be a tax resident</t>
  </si>
  <si>
    <t>Where a YES response is provided then provide supporting costs / summary or information. Use the Additional Info worksheet</t>
  </si>
  <si>
    <t>Estimated Cashflow before tax considerations</t>
  </si>
  <si>
    <t>Estimated Cashflow after tax considerations</t>
  </si>
  <si>
    <t>Other property related deductions that aren't specific to one property</t>
  </si>
  <si>
    <r>
      <t xml:space="preserve">Since the start of the financial year have you or others </t>
    </r>
    <r>
      <rPr>
        <u val="double"/>
        <sz val="12"/>
        <rFont val="Arial"/>
        <family val="2"/>
      </rPr>
      <t>ever</t>
    </r>
    <r>
      <rPr>
        <sz val="12"/>
        <rFont val="Arial"/>
        <family val="2"/>
      </rPr>
      <t xml:space="preserve"> resided within this property rent free ?</t>
    </r>
  </si>
  <si>
    <t>Name of Owner 1</t>
  </si>
  <si>
    <t>Did you incur any costs for a NON-DEDUCTIBLE item costing $300+ or a improvement, renovations etc (not a repair) ?</t>
  </si>
  <si>
    <t>Do you have a Quantity Surveyor Report (Depreciation Schedule)?</t>
  </si>
  <si>
    <t>Did you refinance a former loan ?</t>
  </si>
  <si>
    <t>Borrowing Expenses from prior year/s (E.g. Lenders Mortgage Insurance)</t>
  </si>
  <si>
    <t>What was cost for</t>
  </si>
  <si>
    <t>Property 6</t>
  </si>
  <si>
    <t>Property 7</t>
  </si>
  <si>
    <t>Property 8</t>
  </si>
  <si>
    <t>Property 9</t>
  </si>
  <si>
    <t>Property 10</t>
  </si>
  <si>
    <t>Property 11</t>
  </si>
  <si>
    <t>Portfolio Summary</t>
  </si>
  <si>
    <t>Estimated Profit (Loss) before tax considerations</t>
  </si>
  <si>
    <t>Terms &amp; Conditions: © Consulting By PK - All rights reserved. Do not share, copy, reproduce or sell any part of this document unless you have written permission from Consulting By PK. All infringements will be prosecuted. If you are the personal owner of the Consulting By PK End User License then you may use it for your own use but not for any other purpose.
Disclaimer: The opinions expressed in all material published by Consulting By PK are not to be construed as financial or investment advice nor should be relied upon for any investment activities. Consulting By PK strongly recommends that you perform your own independent research and/or seek your own legal advice before making any financial decisions. Contents of this message are of general nature only and should not be relied upon solely when making an investment decision. Consulting By PK nor any of its directors, associates, staff, or associated companies bear any liability from any actions derived from in this document. One should always seek third party investment information from relevant parties such as legal, finance, and accountancy enquiries.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</si>
</sst>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Red]\-&quot;$&quot;#,##0"/>
    <numFmt numFmtId="42" formatCode="_-&quot;$&quot;* #,##0_-;\-&quot;$&quot;* #,##0_-;_-&quot;$&quot;* &quot;-&quot;_-;_-@_-"/>
    <numFmt numFmtId="44" formatCode="_-&quot;$&quot;* #,##0.00_-;\-&quot;$&quot;* #,##0.00_-;_-&quot;$&quot;* &quot;-&quot;??_-;_-@_-"/>
    <numFmt numFmtId="43" formatCode="_-* #,##0.00_-;\-* #,##0.00_-;_-* &quot;-&quot;??_-;_-@_-"/>
    <numFmt numFmtId="164" formatCode="&quot;$&quot;#,##0.00_);\(&quot;$&quot;#,##0.00\)"/>
    <numFmt numFmtId="165" formatCode="&quot;$&quot;#,##0.00_);[Red]\(&quot;$&quot;#,##0.00\)"/>
    <numFmt numFmtId="166" formatCode="###\ ###\ ###"/>
    <numFmt numFmtId="167" formatCode="##\ ###\ ###\ ###"/>
    <numFmt numFmtId="168" formatCode="d/mm/yyyy;@"/>
    <numFmt numFmtId="169" formatCode="_-* #,##0_-;\-* #,##0_-;_-* &quot;-&quot;??_-;_-@_-"/>
    <numFmt numFmtId="170" formatCode="#,##0.00;\(#,##0.00\)"/>
    <numFmt numFmtId="171" formatCode="###\-###"/>
    <numFmt numFmtId="172" formatCode="##########"/>
    <numFmt numFmtId="173" formatCode="#,##0_ ;[Red]\-#,##0\ "/>
    <numFmt numFmtId="174" formatCode="#,##0.00_ ;[Red]\-#,##0.00\ "/>
    <numFmt numFmtId="175" formatCode="#######"/>
    <numFmt numFmtId="176" formatCode="########"/>
    <numFmt numFmtId="177" formatCode="#,##0;[Red]#,##0"/>
    <numFmt numFmtId="178" formatCode="d/mm/yy;@"/>
    <numFmt numFmtId="179" formatCode="#,##0;\(#,##0\)"/>
    <numFmt numFmtId="180" formatCode="&quot;$&quot;#,##0.00"/>
    <numFmt numFmtId="181" formatCode="&quot;$&quot;#,##0"/>
    <numFmt numFmtId="182" formatCode="&quot;$&quot;#,##0.00;[Red]&quot;$&quot;#,##0.00"/>
    <numFmt numFmtId="183" formatCode="0.0%"/>
    <numFmt numFmtId="184" formatCode="&quot;$&quot;#,##0;[Red]&quot;$&quot;#,##0"/>
  </numFmts>
  <fonts count="38" x14ac:knownFonts="1">
    <font>
      <sz val="10"/>
      <name val="Arial"/>
    </font>
    <font>
      <sz val="11"/>
      <color theme="1"/>
      <name val="Calibri"/>
      <family val="2"/>
      <scheme val="minor"/>
    </font>
    <font>
      <sz val="10"/>
      <name val="Arial"/>
      <family val="2"/>
    </font>
    <font>
      <sz val="8"/>
      <name val="Arial"/>
      <family val="2"/>
    </font>
    <font>
      <b/>
      <sz val="16"/>
      <name val="Arial"/>
      <family val="2"/>
    </font>
    <font>
      <sz val="12"/>
      <name val="Arial"/>
      <family val="2"/>
    </font>
    <font>
      <b/>
      <sz val="12"/>
      <name val="Arial"/>
      <family val="2"/>
    </font>
    <font>
      <sz val="16"/>
      <name val="Arial"/>
      <family val="2"/>
    </font>
    <font>
      <b/>
      <i/>
      <sz val="12"/>
      <name val="Arial"/>
      <family val="2"/>
    </font>
    <font>
      <i/>
      <sz val="12"/>
      <name val="Arial"/>
      <family val="2"/>
    </font>
    <font>
      <u/>
      <sz val="10"/>
      <color theme="10"/>
      <name val="Arial"/>
      <family val="2"/>
    </font>
    <font>
      <sz val="12"/>
      <color theme="0" tint="-0.34998626667073579"/>
      <name val="Arial"/>
      <family val="2"/>
    </font>
    <font>
      <u/>
      <sz val="12"/>
      <color theme="10"/>
      <name val="Arial"/>
      <family val="2"/>
    </font>
    <font>
      <b/>
      <sz val="12"/>
      <color theme="0"/>
      <name val="Arial"/>
      <family val="2"/>
    </font>
    <font>
      <i/>
      <sz val="12"/>
      <color theme="0" tint="-0.34998626667073579"/>
      <name val="Arial"/>
      <family val="2"/>
    </font>
    <font>
      <sz val="12"/>
      <color theme="1"/>
      <name val="Arial"/>
      <family val="2"/>
    </font>
    <font>
      <b/>
      <sz val="12"/>
      <color rgb="FFFFFF00"/>
      <name val="Arial"/>
      <family val="2"/>
    </font>
    <font>
      <b/>
      <i/>
      <sz val="12"/>
      <color theme="1"/>
      <name val="Arial"/>
      <family val="2"/>
    </font>
    <font>
      <b/>
      <sz val="12"/>
      <color theme="0" tint="-4.9989318521683403E-2"/>
      <name val="Arial"/>
      <family val="2"/>
    </font>
    <font>
      <b/>
      <sz val="16"/>
      <color rgb="FFC00000"/>
      <name val="Arial"/>
      <family val="2"/>
    </font>
    <font>
      <sz val="16"/>
      <color rgb="FFC00000"/>
      <name val="Arial"/>
      <family val="2"/>
    </font>
    <font>
      <u val="double"/>
      <sz val="12"/>
      <name val="Arial"/>
      <family val="2"/>
    </font>
    <font>
      <i/>
      <sz val="11"/>
      <color rgb="FF7F7F7F"/>
      <name val="Calibri"/>
      <family val="2"/>
      <scheme val="minor"/>
    </font>
    <font>
      <sz val="12"/>
      <color theme="3" tint="-0.249977111117893"/>
      <name val="Arial"/>
      <family val="2"/>
    </font>
    <font>
      <b/>
      <i/>
      <sz val="12"/>
      <color theme="3"/>
      <name val="Arial"/>
      <family val="2"/>
    </font>
    <font>
      <sz val="12"/>
      <color theme="0" tint="-0.249977111117893"/>
      <name val="Arial"/>
      <family val="2"/>
    </font>
    <font>
      <b/>
      <u/>
      <sz val="12"/>
      <name val="Arial"/>
      <family val="2"/>
    </font>
    <font>
      <sz val="12"/>
      <color theme="10"/>
      <name val="Arial"/>
      <family val="2"/>
    </font>
    <font>
      <sz val="12"/>
      <color theme="1"/>
      <name val="Gill Sans MT"/>
      <family val="2"/>
    </font>
    <font>
      <sz val="12"/>
      <name val="Gill Sans MT"/>
      <family val="2"/>
    </font>
    <font>
      <i/>
      <sz val="12"/>
      <name val="Gill Sans MT"/>
      <family val="2"/>
    </font>
    <font>
      <i/>
      <sz val="12"/>
      <color rgb="FFFF0000"/>
      <name val="Gill Sans MT"/>
      <family val="2"/>
    </font>
    <font>
      <sz val="12"/>
      <color rgb="FFFF0000"/>
      <name val="Gill Sans MT"/>
      <family val="2"/>
    </font>
    <font>
      <sz val="12"/>
      <color theme="0"/>
      <name val="Gill Sans MT"/>
      <family val="2"/>
    </font>
    <font>
      <i/>
      <sz val="12"/>
      <color rgb="FF7F7F7F"/>
      <name val="Calibri"/>
      <family val="2"/>
      <scheme val="minor"/>
    </font>
    <font>
      <sz val="12"/>
      <color theme="0"/>
      <name val="Arial"/>
      <family val="2"/>
    </font>
    <font>
      <sz val="7"/>
      <name val="Arial"/>
      <family val="2"/>
    </font>
    <font>
      <sz val="6"/>
      <name val="Arial"/>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1"/>
        <bgColor indexed="64"/>
      </patternFill>
    </fill>
    <fill>
      <patternFill patternType="solid">
        <fgColor theme="0" tint="-0.499984740745262"/>
        <bgColor indexed="64"/>
      </patternFill>
    </fill>
    <fill>
      <patternFill patternType="solid">
        <fgColor rgb="FFFFC000"/>
        <bgColor indexed="64"/>
      </patternFill>
    </fill>
    <fill>
      <patternFill patternType="solid">
        <fgColor rgb="FF92D050"/>
        <bgColor indexed="64"/>
      </patternFill>
    </fill>
    <fill>
      <patternFill patternType="lightHorizontal">
        <bgColor theme="1"/>
      </patternFill>
    </fill>
  </fills>
  <borders count="20">
    <border>
      <left/>
      <right/>
      <top/>
      <bottom/>
      <diagonal/>
    </border>
    <border>
      <left style="medium">
        <color indexed="64"/>
      </left>
      <right/>
      <top/>
      <bottom/>
      <diagonal/>
    </border>
    <border>
      <left/>
      <right/>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top style="thin">
        <color indexed="64"/>
      </top>
      <bottom style="double">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top style="thin">
        <color rgb="FF7030A0"/>
      </top>
      <bottom style="thin">
        <color rgb="FF7030A0"/>
      </bottom>
      <diagonal/>
    </border>
    <border>
      <left style="thin">
        <color theme="0"/>
      </left>
      <right style="thin">
        <color theme="0"/>
      </right>
      <top style="thin">
        <color theme="0"/>
      </top>
      <bottom style="thin">
        <color theme="0"/>
      </bottom>
      <diagonal/>
    </border>
  </borders>
  <cellStyleXfs count="6">
    <xf numFmtId="0" fontId="0" fillId="0" borderId="0"/>
    <xf numFmtId="43" fontId="2" fillId="0" borderId="0" applyFont="0" applyFill="0" applyBorder="0" applyAlignment="0" applyProtection="0"/>
    <xf numFmtId="44" fontId="2" fillId="0" borderId="0" applyFont="0" applyFill="0" applyBorder="0" applyAlignment="0" applyProtection="0"/>
    <xf numFmtId="0" fontId="10" fillId="0" borderId="0" applyNumberFormat="0" applyFill="0" applyBorder="0" applyAlignment="0" applyProtection="0">
      <alignment vertical="top"/>
      <protection locked="0"/>
    </xf>
    <xf numFmtId="0" fontId="22" fillId="0" borderId="0" applyNumberFormat="0" applyFill="0" applyBorder="0" applyAlignment="0" applyProtection="0"/>
    <xf numFmtId="0" fontId="1" fillId="0" borderId="0"/>
  </cellStyleXfs>
  <cellXfs count="263">
    <xf numFmtId="0" fontId="0" fillId="0" borderId="0" xfId="0"/>
    <xf numFmtId="0" fontId="4" fillId="0" borderId="0" xfId="0" applyFont="1"/>
    <xf numFmtId="0" fontId="5" fillId="0" borderId="0" xfId="0" applyFont="1"/>
    <xf numFmtId="165" fontId="5" fillId="0" borderId="0" xfId="1" applyNumberFormat="1" applyFont="1"/>
    <xf numFmtId="0" fontId="5" fillId="0" borderId="0" xfId="0" applyFont="1" applyAlignment="1">
      <alignment horizontal="left" indent="1"/>
    </xf>
    <xf numFmtId="40" fontId="0" fillId="0" borderId="0" xfId="0" applyNumberFormat="1"/>
    <xf numFmtId="0" fontId="6" fillId="0" borderId="0" xfId="0" applyFont="1"/>
    <xf numFmtId="165" fontId="6" fillId="0" borderId="0" xfId="1" applyNumberFormat="1" applyFont="1"/>
    <xf numFmtId="40" fontId="5" fillId="0" borderId="0" xfId="0" applyNumberFormat="1" applyFont="1"/>
    <xf numFmtId="0" fontId="6" fillId="0" borderId="0" xfId="0" applyFont="1" applyAlignment="1">
      <alignment horizontal="left" indent="1"/>
    </xf>
    <xf numFmtId="0" fontId="7" fillId="0" borderId="0" xfId="0" applyFont="1"/>
    <xf numFmtId="0" fontId="6" fillId="0" borderId="0" xfId="0" applyFont="1" applyBorder="1"/>
    <xf numFmtId="165" fontId="5" fillId="0" borderId="0" xfId="0" applyNumberFormat="1" applyFont="1"/>
    <xf numFmtId="165" fontId="5" fillId="0" borderId="0" xfId="0" applyNumberFormat="1" applyFont="1" applyFill="1"/>
    <xf numFmtId="0" fontId="5" fillId="0" borderId="0" xfId="0" applyFont="1" applyBorder="1"/>
    <xf numFmtId="0" fontId="5" fillId="0" borderId="1" xfId="0" applyFont="1" applyBorder="1"/>
    <xf numFmtId="0" fontId="5" fillId="0" borderId="2" xfId="0" applyFont="1" applyBorder="1"/>
    <xf numFmtId="0" fontId="8" fillId="0" borderId="0" xfId="0" applyFont="1"/>
    <xf numFmtId="0" fontId="9" fillId="0" borderId="0" xfId="0" applyFont="1"/>
    <xf numFmtId="165" fontId="5" fillId="0" borderId="3" xfId="1" applyNumberFormat="1" applyFont="1" applyBorder="1"/>
    <xf numFmtId="0" fontId="6" fillId="0" borderId="0" xfId="0" applyFont="1" applyAlignment="1">
      <alignment horizontal="right"/>
    </xf>
    <xf numFmtId="0" fontId="5" fillId="0" borderId="4" xfId="0" applyFont="1" applyBorder="1"/>
    <xf numFmtId="0" fontId="5" fillId="0" borderId="5" xfId="0" applyFont="1" applyBorder="1"/>
    <xf numFmtId="164" fontId="6" fillId="0" borderId="7" xfId="1" applyNumberFormat="1" applyFont="1" applyBorder="1"/>
    <xf numFmtId="40" fontId="5" fillId="0" borderId="0" xfId="2" applyNumberFormat="1" applyFont="1" applyProtection="1"/>
    <xf numFmtId="170" fontId="5" fillId="0" borderId="0" xfId="2" applyNumberFormat="1" applyFont="1" applyProtection="1"/>
    <xf numFmtId="0" fontId="6" fillId="0" borderId="0" xfId="0" applyFont="1" applyAlignment="1" applyProtection="1">
      <alignment horizontal="left" indent="1"/>
      <protection locked="0"/>
    </xf>
    <xf numFmtId="40" fontId="5" fillId="0" borderId="0" xfId="0" applyNumberFormat="1" applyFont="1" applyProtection="1">
      <protection locked="0"/>
    </xf>
    <xf numFmtId="167" fontId="5" fillId="0" borderId="0" xfId="0" applyNumberFormat="1" applyFont="1" applyProtection="1">
      <protection locked="0"/>
    </xf>
    <xf numFmtId="0" fontId="5" fillId="0" borderId="0" xfId="0" applyFont="1" applyAlignment="1" applyProtection="1">
      <alignment horizontal="left" indent="1"/>
      <protection locked="0"/>
    </xf>
    <xf numFmtId="0" fontId="5" fillId="0" borderId="0" xfId="0" applyFont="1" applyProtection="1">
      <protection locked="0"/>
    </xf>
    <xf numFmtId="0" fontId="6" fillId="0" borderId="1" xfId="0" applyFont="1" applyBorder="1"/>
    <xf numFmtId="40" fontId="5" fillId="0" borderId="8" xfId="0" applyNumberFormat="1" applyFont="1" applyBorder="1"/>
    <xf numFmtId="0" fontId="5" fillId="0" borderId="8" xfId="0" applyFont="1" applyBorder="1" applyAlignment="1" applyProtection="1">
      <alignment horizontal="left" indent="1"/>
      <protection locked="0"/>
    </xf>
    <xf numFmtId="0" fontId="5" fillId="0" borderId="3" xfId="0" applyFont="1" applyBorder="1" applyAlignment="1" applyProtection="1">
      <alignment horizontal="left" indent="1"/>
      <protection locked="0"/>
    </xf>
    <xf numFmtId="0" fontId="5" fillId="0" borderId="8" xfId="0" applyFont="1" applyBorder="1"/>
    <xf numFmtId="40" fontId="8" fillId="0" borderId="0" xfId="0" applyNumberFormat="1" applyFont="1"/>
    <xf numFmtId="40" fontId="5" fillId="0" borderId="3" xfId="0" applyNumberFormat="1" applyFont="1" applyBorder="1"/>
    <xf numFmtId="0" fontId="5" fillId="0" borderId="3" xfId="0" applyFont="1" applyBorder="1"/>
    <xf numFmtId="40" fontId="8" fillId="0" borderId="0" xfId="0" applyNumberFormat="1" applyFont="1" applyAlignment="1">
      <alignment wrapText="1"/>
    </xf>
    <xf numFmtId="0" fontId="8" fillId="0" borderId="0" xfId="0" applyFont="1" applyAlignment="1">
      <alignment wrapText="1"/>
    </xf>
    <xf numFmtId="0" fontId="5" fillId="0" borderId="8" xfId="0" applyFont="1" applyBorder="1" applyProtection="1">
      <protection locked="0"/>
    </xf>
    <xf numFmtId="0" fontId="5" fillId="0" borderId="3" xfId="0" quotePrefix="1" applyFont="1" applyBorder="1" applyProtection="1">
      <protection locked="0"/>
    </xf>
    <xf numFmtId="0" fontId="5" fillId="0" borderId="3" xfId="0" applyFont="1" applyBorder="1" applyProtection="1">
      <protection locked="0"/>
    </xf>
    <xf numFmtId="0" fontId="8" fillId="0" borderId="0" xfId="0" applyFont="1" applyFill="1" applyBorder="1"/>
    <xf numFmtId="0" fontId="6" fillId="0" borderId="0" xfId="0" applyFont="1" applyAlignment="1">
      <alignment horizontal="center"/>
    </xf>
    <xf numFmtId="0" fontId="0" fillId="0" borderId="0" xfId="0" applyFill="1" applyBorder="1"/>
    <xf numFmtId="0" fontId="6" fillId="0" borderId="0" xfId="0" applyFont="1" applyFill="1" applyBorder="1"/>
    <xf numFmtId="40" fontId="5" fillId="3" borderId="0" xfId="0" applyNumberFormat="1" applyFont="1" applyFill="1"/>
    <xf numFmtId="40" fontId="5" fillId="3" borderId="0" xfId="2" applyNumberFormat="1" applyFont="1" applyFill="1" applyProtection="1"/>
    <xf numFmtId="170" fontId="5" fillId="3" borderId="0" xfId="2" applyNumberFormat="1" applyFont="1" applyFill="1" applyProtection="1"/>
    <xf numFmtId="0" fontId="0" fillId="0" borderId="0" xfId="0" applyFill="1"/>
    <xf numFmtId="40" fontId="0" fillId="0" borderId="0" xfId="0" applyNumberFormat="1" applyFill="1"/>
    <xf numFmtId="0" fontId="6" fillId="2" borderId="0" xfId="0" applyFont="1" applyFill="1" applyBorder="1"/>
    <xf numFmtId="0" fontId="9" fillId="0" borderId="1" xfId="0" applyFont="1" applyBorder="1"/>
    <xf numFmtId="0" fontId="5" fillId="0" borderId="0" xfId="0" applyFont="1" applyFill="1" applyBorder="1"/>
    <xf numFmtId="0" fontId="9" fillId="0" borderId="0" xfId="0" applyFont="1" applyBorder="1"/>
    <xf numFmtId="0" fontId="5" fillId="3" borderId="0" xfId="0" applyFont="1" applyFill="1" applyBorder="1"/>
    <xf numFmtId="0" fontId="13" fillId="5" borderId="0" xfId="0" applyFont="1" applyFill="1" applyBorder="1" applyAlignment="1">
      <alignment horizontal="left"/>
    </xf>
    <xf numFmtId="0" fontId="13" fillId="4" borderId="14" xfId="0" applyFont="1" applyFill="1" applyBorder="1" applyAlignment="1">
      <alignment horizontal="left"/>
    </xf>
    <xf numFmtId="0" fontId="13" fillId="4" borderId="15" xfId="0" applyFont="1" applyFill="1" applyBorder="1" applyAlignment="1">
      <alignment horizontal="left"/>
    </xf>
    <xf numFmtId="0" fontId="13" fillId="0" borderId="15" xfId="0" applyFont="1" applyFill="1" applyBorder="1" applyAlignment="1">
      <alignment horizontal="left"/>
    </xf>
    <xf numFmtId="0" fontId="6" fillId="3" borderId="0" xfId="0" applyFont="1" applyFill="1" applyBorder="1"/>
    <xf numFmtId="0" fontId="6" fillId="3" borderId="0" xfId="0" applyFont="1" applyFill="1"/>
    <xf numFmtId="49" fontId="5" fillId="0" borderId="8" xfId="2" applyNumberFormat="1" applyFont="1" applyBorder="1" applyAlignment="1" applyProtection="1">
      <alignment horizontal="left"/>
    </xf>
    <xf numFmtId="173" fontId="5" fillId="0" borderId="8" xfId="2" applyNumberFormat="1" applyFont="1" applyBorder="1" applyAlignment="1" applyProtection="1">
      <alignment horizontal="left"/>
    </xf>
    <xf numFmtId="4" fontId="5" fillId="0" borderId="8" xfId="0" applyNumberFormat="1" applyFont="1" applyBorder="1"/>
    <xf numFmtId="4" fontId="5" fillId="0" borderId="3" xfId="0" applyNumberFormat="1" applyFont="1" applyBorder="1"/>
    <xf numFmtId="9" fontId="5" fillId="0" borderId="8" xfId="0" applyNumberFormat="1" applyFont="1" applyBorder="1"/>
    <xf numFmtId="9" fontId="5" fillId="0" borderId="3" xfId="0" applyNumberFormat="1" applyFont="1" applyBorder="1"/>
    <xf numFmtId="49" fontId="5" fillId="0" borderId="2" xfId="0" applyNumberFormat="1" applyFont="1" applyBorder="1" applyProtection="1">
      <protection locked="0"/>
    </xf>
    <xf numFmtId="49" fontId="5" fillId="0" borderId="2" xfId="0" applyNumberFormat="1" applyFont="1" applyBorder="1"/>
    <xf numFmtId="49" fontId="5" fillId="0" borderId="8" xfId="0" applyNumberFormat="1" applyFont="1" applyBorder="1"/>
    <xf numFmtId="0" fontId="5" fillId="3" borderId="0" xfId="0" applyFont="1" applyFill="1" applyAlignment="1" applyProtection="1">
      <alignment horizontal="left" indent="1"/>
      <protection locked="0"/>
    </xf>
    <xf numFmtId="177" fontId="5" fillId="0" borderId="2" xfId="1" applyNumberFormat="1" applyFont="1" applyBorder="1"/>
    <xf numFmtId="165" fontId="5" fillId="0" borderId="13" xfId="1" applyNumberFormat="1" applyFont="1" applyBorder="1"/>
    <xf numFmtId="165" fontId="5" fillId="0" borderId="0" xfId="1" applyNumberFormat="1" applyFont="1" applyBorder="1"/>
    <xf numFmtId="0" fontId="5" fillId="0" borderId="0" xfId="0" applyFont="1" applyFill="1" applyAlignment="1">
      <alignment horizontal="left" indent="1"/>
    </xf>
    <xf numFmtId="165" fontId="5" fillId="0" borderId="0" xfId="1" applyNumberFormat="1" applyFont="1" applyFill="1"/>
    <xf numFmtId="40" fontId="11" fillId="0" borderId="0" xfId="1" applyNumberFormat="1" applyFont="1" applyFill="1"/>
    <xf numFmtId="0" fontId="11" fillId="0" borderId="0" xfId="1" applyNumberFormat="1" applyFont="1" applyFill="1"/>
    <xf numFmtId="165" fontId="11" fillId="0" borderId="0" xfId="1" applyNumberFormat="1" applyFont="1" applyFill="1"/>
    <xf numFmtId="0" fontId="6" fillId="3" borderId="0" xfId="0" quotePrefix="1" applyFont="1" applyFill="1"/>
    <xf numFmtId="0" fontId="5" fillId="3" borderId="1" xfId="0" applyFont="1" applyFill="1" applyBorder="1"/>
    <xf numFmtId="0" fontId="12" fillId="0" borderId="0" xfId="3" applyFont="1" applyBorder="1" applyAlignment="1" applyProtection="1"/>
    <xf numFmtId="0" fontId="5" fillId="3" borderId="0" xfId="0" applyFont="1" applyFill="1" applyProtection="1">
      <protection locked="0"/>
    </xf>
    <xf numFmtId="0" fontId="5" fillId="3" borderId="0" xfId="0" applyFont="1" applyFill="1"/>
    <xf numFmtId="0" fontId="5" fillId="0" borderId="0" xfId="0" applyFont="1" applyFill="1" applyProtection="1">
      <protection locked="0"/>
    </xf>
    <xf numFmtId="49" fontId="5" fillId="0" borderId="0" xfId="0" applyNumberFormat="1" applyFont="1" applyBorder="1"/>
    <xf numFmtId="0" fontId="13" fillId="4" borderId="0" xfId="0" applyFont="1" applyFill="1" applyBorder="1"/>
    <xf numFmtId="0" fontId="6" fillId="0" borderId="10" xfId="0" applyFont="1" applyBorder="1" applyAlignment="1">
      <alignment horizontal="center"/>
    </xf>
    <xf numFmtId="0" fontId="5" fillId="0" borderId="0" xfId="0" applyFont="1" applyBorder="1" applyAlignment="1" applyProtection="1">
      <alignment horizontal="left" indent="1"/>
      <protection locked="0"/>
    </xf>
    <xf numFmtId="49" fontId="5" fillId="0" borderId="0" xfId="2" applyNumberFormat="1" applyFont="1" applyBorder="1" applyAlignment="1" applyProtection="1">
      <alignment horizontal="left"/>
    </xf>
    <xf numFmtId="174" fontId="5" fillId="0" borderId="0" xfId="2" applyNumberFormat="1" applyFont="1" applyBorder="1" applyAlignment="1" applyProtection="1">
      <alignment horizontal="left"/>
    </xf>
    <xf numFmtId="173" fontId="5" fillId="0" borderId="0" xfId="2" applyNumberFormat="1" applyFont="1" applyBorder="1" applyAlignment="1" applyProtection="1">
      <alignment horizontal="left"/>
    </xf>
    <xf numFmtId="0" fontId="9" fillId="3" borderId="0" xfId="0" applyFont="1" applyFill="1"/>
    <xf numFmtId="40" fontId="5" fillId="0" borderId="0" xfId="2" applyNumberFormat="1" applyFont="1" applyBorder="1" applyProtection="1"/>
    <xf numFmtId="170" fontId="5" fillId="0" borderId="0" xfId="2" applyNumberFormat="1" applyFont="1" applyBorder="1" applyProtection="1"/>
    <xf numFmtId="3" fontId="5" fillId="0" borderId="0" xfId="0" applyNumberFormat="1" applyFont="1" applyBorder="1" applyAlignment="1">
      <alignment horizontal="left"/>
    </xf>
    <xf numFmtId="44" fontId="5" fillId="0" borderId="8" xfId="2" applyFont="1" applyBorder="1" applyAlignment="1" applyProtection="1">
      <alignment horizontal="left"/>
    </xf>
    <xf numFmtId="173" fontId="5" fillId="0" borderId="8" xfId="2" applyNumberFormat="1" applyFont="1" applyBorder="1" applyAlignment="1" applyProtection="1">
      <alignment horizontal="right"/>
    </xf>
    <xf numFmtId="173" fontId="5" fillId="0" borderId="3" xfId="2" applyNumberFormat="1" applyFont="1" applyBorder="1" applyAlignment="1" applyProtection="1">
      <alignment horizontal="right"/>
    </xf>
    <xf numFmtId="49" fontId="14" fillId="0" borderId="8" xfId="0" applyNumberFormat="1" applyFont="1" applyBorder="1" applyAlignment="1" applyProtection="1">
      <protection locked="0"/>
    </xf>
    <xf numFmtId="49" fontId="5" fillId="0" borderId="3" xfId="0" applyNumberFormat="1" applyFont="1" applyBorder="1" applyAlignment="1" applyProtection="1">
      <protection locked="0"/>
    </xf>
    <xf numFmtId="42" fontId="5" fillId="0" borderId="8" xfId="2" applyNumberFormat="1" applyFont="1" applyBorder="1" applyAlignment="1">
      <alignment horizontal="left"/>
    </xf>
    <xf numFmtId="49" fontId="5" fillId="0" borderId="3" xfId="0" applyNumberFormat="1" applyFont="1" applyBorder="1"/>
    <xf numFmtId="0" fontId="8" fillId="0" borderId="0" xfId="0" applyFont="1" applyFill="1"/>
    <xf numFmtId="0" fontId="8" fillId="0" borderId="0" xfId="0" applyFont="1" applyBorder="1"/>
    <xf numFmtId="0" fontId="8" fillId="0" borderId="1" xfId="0" applyFont="1" applyBorder="1"/>
    <xf numFmtId="0" fontId="5" fillId="0" borderId="0" xfId="0" quotePrefix="1" applyFont="1" applyFill="1" applyBorder="1"/>
    <xf numFmtId="14" fontId="6" fillId="0" borderId="0" xfId="0" applyNumberFormat="1" applyFont="1" applyFill="1" applyBorder="1" applyProtection="1">
      <protection locked="0"/>
    </xf>
    <xf numFmtId="14" fontId="5" fillId="0" borderId="0" xfId="0" applyNumberFormat="1" applyFont="1" applyFill="1" applyBorder="1" applyProtection="1">
      <protection locked="0"/>
    </xf>
    <xf numFmtId="10" fontId="5" fillId="0" borderId="7" xfId="0" applyNumberFormat="1" applyFont="1" applyBorder="1"/>
    <xf numFmtId="0" fontId="5" fillId="0" borderId="0" xfId="0" applyFont="1" applyFill="1" applyBorder="1" applyProtection="1">
      <protection locked="0"/>
    </xf>
    <xf numFmtId="0" fontId="18" fillId="4" borderId="0" xfId="0" applyFont="1" applyFill="1"/>
    <xf numFmtId="0" fontId="13" fillId="4" borderId="0" xfId="0" applyFont="1" applyFill="1"/>
    <xf numFmtId="0" fontId="13" fillId="0" borderId="0" xfId="0" applyFont="1" applyFill="1"/>
    <xf numFmtId="165" fontId="9" fillId="0" borderId="0" xfId="1" applyNumberFormat="1" applyFont="1"/>
    <xf numFmtId="0" fontId="10" fillId="0" borderId="0" xfId="3" applyFill="1" applyBorder="1" applyAlignment="1" applyProtection="1"/>
    <xf numFmtId="9" fontId="5" fillId="0" borderId="0" xfId="0" applyNumberFormat="1" applyFont="1" applyFill="1" applyBorder="1"/>
    <xf numFmtId="0" fontId="9" fillId="0" borderId="0" xfId="0" applyFont="1" applyFill="1" applyBorder="1"/>
    <xf numFmtId="0" fontId="7" fillId="0" borderId="0" xfId="0" applyFont="1" applyFill="1"/>
    <xf numFmtId="0" fontId="8" fillId="0" borderId="0" xfId="0" applyFont="1" applyAlignment="1" applyProtection="1">
      <alignment horizontal="left" indent="1"/>
      <protection locked="0"/>
    </xf>
    <xf numFmtId="40" fontId="8" fillId="0" borderId="0" xfId="2" applyNumberFormat="1" applyFont="1" applyProtection="1"/>
    <xf numFmtId="170" fontId="8" fillId="0" borderId="0" xfId="2" applyNumberFormat="1" applyFont="1" applyProtection="1"/>
    <xf numFmtId="0" fontId="5" fillId="0" borderId="0" xfId="0" applyFont="1" applyFill="1"/>
    <xf numFmtId="40" fontId="5" fillId="0" borderId="0" xfId="0" applyNumberFormat="1" applyFont="1" applyFill="1"/>
    <xf numFmtId="40" fontId="6" fillId="0" borderId="0" xfId="0" applyNumberFormat="1" applyFont="1" applyFill="1"/>
    <xf numFmtId="180" fontId="5" fillId="0" borderId="0" xfId="0" applyNumberFormat="1" applyFont="1" applyFill="1" applyBorder="1"/>
    <xf numFmtId="0" fontId="6" fillId="0" borderId="0" xfId="0" applyFont="1" applyProtection="1">
      <protection locked="0"/>
    </xf>
    <xf numFmtId="0" fontId="12" fillId="0" borderId="1" xfId="3" applyFont="1" applyBorder="1" applyAlignment="1" applyProtection="1"/>
    <xf numFmtId="0" fontId="12" fillId="0" borderId="0" xfId="3" applyFont="1" applyAlignment="1" applyProtection="1"/>
    <xf numFmtId="0" fontId="12" fillId="0" borderId="0" xfId="3" applyFont="1" applyFill="1" applyAlignment="1" applyProtection="1"/>
    <xf numFmtId="0" fontId="15" fillId="0" borderId="15" xfId="0" applyFont="1" applyBorder="1" applyAlignment="1">
      <alignment horizontal="left"/>
    </xf>
    <xf numFmtId="0" fontId="15" fillId="0" borderId="14" xfId="0" applyFont="1" applyBorder="1" applyAlignment="1">
      <alignment horizontal="left"/>
    </xf>
    <xf numFmtId="0" fontId="12" fillId="0" borderId="0" xfId="3" applyFont="1" applyFill="1" applyBorder="1" applyAlignment="1" applyProtection="1"/>
    <xf numFmtId="0" fontId="6" fillId="6" borderId="0" xfId="0" applyFont="1" applyFill="1" applyAlignment="1">
      <alignment horizontal="left" indent="1"/>
    </xf>
    <xf numFmtId="0" fontId="6" fillId="6" borderId="0" xfId="0" applyFont="1" applyFill="1" applyAlignment="1" applyProtection="1">
      <alignment horizontal="left" indent="1"/>
      <protection locked="0"/>
    </xf>
    <xf numFmtId="0" fontId="5" fillId="6" borderId="0" xfId="0" applyFont="1" applyFill="1" applyAlignment="1" applyProtection="1">
      <alignment horizontal="left" indent="1"/>
      <protection locked="0"/>
    </xf>
    <xf numFmtId="0" fontId="5" fillId="6" borderId="0" xfId="0" applyFont="1" applyFill="1" applyProtection="1">
      <protection locked="0"/>
    </xf>
    <xf numFmtId="0" fontId="5" fillId="6" borderId="0" xfId="0" applyFont="1" applyFill="1"/>
    <xf numFmtId="0" fontId="15" fillId="6" borderId="15" xfId="0" applyFont="1" applyFill="1" applyBorder="1" applyAlignment="1">
      <alignment horizontal="left"/>
    </xf>
    <xf numFmtId="0" fontId="15" fillId="6" borderId="14" xfId="0" applyFont="1" applyFill="1" applyBorder="1" applyAlignment="1">
      <alignment horizontal="left"/>
    </xf>
    <xf numFmtId="49" fontId="15" fillId="6" borderId="15" xfId="0" applyNumberFormat="1" applyFont="1" applyFill="1" applyBorder="1" applyAlignment="1">
      <alignment horizontal="left"/>
    </xf>
    <xf numFmtId="49" fontId="15" fillId="6" borderId="14" xfId="0" applyNumberFormat="1" applyFont="1" applyFill="1" applyBorder="1" applyAlignment="1">
      <alignment horizontal="left"/>
    </xf>
    <xf numFmtId="166" fontId="15" fillId="6" borderId="15" xfId="0" applyNumberFormat="1" applyFont="1" applyFill="1" applyBorder="1" applyAlignment="1">
      <alignment horizontal="left"/>
    </xf>
    <xf numFmtId="166" fontId="15" fillId="6" borderId="14" xfId="0" applyNumberFormat="1" applyFont="1" applyFill="1" applyBorder="1" applyAlignment="1">
      <alignment horizontal="left"/>
    </xf>
    <xf numFmtId="168" fontId="15" fillId="6" borderId="15" xfId="0" applyNumberFormat="1" applyFont="1" applyFill="1" applyBorder="1" applyAlignment="1">
      <alignment horizontal="left"/>
    </xf>
    <xf numFmtId="168" fontId="15" fillId="6" borderId="14" xfId="0" applyNumberFormat="1" applyFont="1" applyFill="1" applyBorder="1" applyAlignment="1">
      <alignment horizontal="left"/>
    </xf>
    <xf numFmtId="1" fontId="15" fillId="6" borderId="15" xfId="0" applyNumberFormat="1" applyFont="1" applyFill="1" applyBorder="1" applyAlignment="1">
      <alignment horizontal="left"/>
    </xf>
    <xf numFmtId="1" fontId="15" fillId="6" borderId="14" xfId="0" applyNumberFormat="1" applyFont="1" applyFill="1" applyBorder="1" applyAlignment="1">
      <alignment horizontal="left"/>
    </xf>
    <xf numFmtId="172" fontId="15" fillId="6" borderId="15" xfId="0" applyNumberFormat="1" applyFont="1" applyFill="1" applyBorder="1" applyAlignment="1">
      <alignment horizontal="left"/>
    </xf>
    <xf numFmtId="172" fontId="15" fillId="6" borderId="14" xfId="0" applyNumberFormat="1" applyFont="1" applyFill="1" applyBorder="1" applyAlignment="1">
      <alignment horizontal="left"/>
    </xf>
    <xf numFmtId="0" fontId="6" fillId="6" borderId="0" xfId="0" applyFont="1" applyFill="1" applyBorder="1" applyAlignment="1" applyProtection="1">
      <alignment horizontal="left" indent="1"/>
      <protection locked="0"/>
    </xf>
    <xf numFmtId="0" fontId="6" fillId="7" borderId="0" xfId="0" applyFont="1" applyFill="1"/>
    <xf numFmtId="40" fontId="6" fillId="6" borderId="0" xfId="0" applyNumberFormat="1" applyFont="1" applyFill="1"/>
    <xf numFmtId="0" fontId="20" fillId="0" borderId="0" xfId="0" applyFont="1" applyFill="1" applyBorder="1"/>
    <xf numFmtId="168" fontId="5" fillId="6" borderId="6" xfId="0" applyNumberFormat="1" applyFont="1" applyFill="1" applyBorder="1" applyProtection="1">
      <protection locked="0"/>
    </xf>
    <xf numFmtId="0" fontId="5" fillId="6" borderId="0" xfId="0" applyFont="1" applyFill="1" applyBorder="1" applyProtection="1">
      <protection locked="0"/>
    </xf>
    <xf numFmtId="180" fontId="5" fillId="6" borderId="9" xfId="0" applyNumberFormat="1" applyFont="1" applyFill="1" applyBorder="1"/>
    <xf numFmtId="180" fontId="5" fillId="6" borderId="17" xfId="0" applyNumberFormat="1" applyFont="1" applyFill="1" applyBorder="1"/>
    <xf numFmtId="14" fontId="6" fillId="6" borderId="0" xfId="0" applyNumberFormat="1" applyFont="1" applyFill="1" applyBorder="1" applyProtection="1">
      <protection locked="0"/>
    </xf>
    <xf numFmtId="0" fontId="5" fillId="6" borderId="1" xfId="0" applyFont="1" applyFill="1" applyBorder="1"/>
    <xf numFmtId="10" fontId="5" fillId="6" borderId="0" xfId="0" applyNumberFormat="1" applyFont="1" applyFill="1" applyBorder="1" applyProtection="1">
      <protection locked="0"/>
    </xf>
    <xf numFmtId="10" fontId="5" fillId="6" borderId="0" xfId="0" applyNumberFormat="1" applyFont="1" applyFill="1" applyBorder="1"/>
    <xf numFmtId="165" fontId="5" fillId="6" borderId="0" xfId="1" applyNumberFormat="1" applyFont="1" applyFill="1" applyProtection="1">
      <protection locked="0"/>
    </xf>
    <xf numFmtId="165" fontId="5" fillId="4" borderId="0" xfId="1" applyNumberFormat="1" applyFont="1" applyFill="1" applyProtection="1">
      <protection locked="0"/>
    </xf>
    <xf numFmtId="169" fontId="5" fillId="0" borderId="12" xfId="1" applyNumberFormat="1" applyFont="1" applyFill="1" applyBorder="1" applyProtection="1">
      <protection locked="0"/>
    </xf>
    <xf numFmtId="165" fontId="6" fillId="6" borderId="0" xfId="1" applyNumberFormat="1" applyFont="1" applyFill="1"/>
    <xf numFmtId="165" fontId="6" fillId="4" borderId="0" xfId="1" applyNumberFormat="1" applyFont="1" applyFill="1" applyProtection="1">
      <protection locked="0"/>
    </xf>
    <xf numFmtId="40" fontId="5" fillId="6" borderId="0" xfId="0" applyNumberFormat="1" applyFont="1" applyFill="1" applyProtection="1">
      <protection locked="0"/>
    </xf>
    <xf numFmtId="0" fontId="19" fillId="0" borderId="0" xfId="0" quotePrefix="1" applyFont="1" applyFill="1" applyBorder="1"/>
    <xf numFmtId="171" fontId="15" fillId="6" borderId="15" xfId="0" quotePrefix="1" applyNumberFormat="1" applyFont="1" applyFill="1" applyBorder="1" applyAlignment="1">
      <alignment horizontal="left"/>
    </xf>
    <xf numFmtId="167" fontId="5" fillId="0" borderId="8" xfId="0" quotePrefix="1" applyNumberFormat="1" applyFont="1" applyBorder="1" applyAlignment="1" applyProtection="1">
      <alignment horizontal="left" indent="1"/>
      <protection locked="0"/>
    </xf>
    <xf numFmtId="179" fontId="20" fillId="0" borderId="0" xfId="0" applyNumberFormat="1" applyFont="1" applyFill="1" applyBorder="1"/>
    <xf numFmtId="0" fontId="5" fillId="0" borderId="0" xfId="0" applyFont="1" applyBorder="1" applyAlignment="1">
      <alignment horizontal="left"/>
    </xf>
    <xf numFmtId="0" fontId="5" fillId="0" borderId="15" xfId="0" applyFont="1" applyBorder="1" applyAlignment="1">
      <alignment horizontal="left"/>
    </xf>
    <xf numFmtId="0" fontId="5" fillId="0" borderId="16" xfId="0" applyFont="1" applyBorder="1" applyAlignment="1">
      <alignment horizontal="left"/>
    </xf>
    <xf numFmtId="0" fontId="5" fillId="0" borderId="14" xfId="0" applyFont="1" applyBorder="1" applyAlignment="1">
      <alignment horizontal="left"/>
    </xf>
    <xf numFmtId="49" fontId="12" fillId="6" borderId="15" xfId="3" applyNumberFormat="1" applyFont="1" applyFill="1" applyBorder="1" applyAlignment="1" applyProtection="1">
      <alignment horizontal="left"/>
    </xf>
    <xf numFmtId="49" fontId="12" fillId="6" borderId="14" xfId="3" applyNumberFormat="1" applyFont="1" applyFill="1" applyBorder="1" applyAlignment="1" applyProtection="1">
      <alignment horizontal="left"/>
    </xf>
    <xf numFmtId="3" fontId="15" fillId="6" borderId="14" xfId="0" applyNumberFormat="1" applyFont="1" applyFill="1" applyBorder="1" applyAlignment="1">
      <alignment horizontal="left"/>
    </xf>
    <xf numFmtId="40" fontId="17" fillId="0" borderId="0" xfId="0" applyNumberFormat="1" applyFont="1" applyFill="1" applyAlignment="1">
      <alignment wrapText="1"/>
    </xf>
    <xf numFmtId="0" fontId="6" fillId="0" borderId="0" xfId="0" applyFont="1" applyFill="1"/>
    <xf numFmtId="40" fontId="6" fillId="3" borderId="0" xfId="0" applyNumberFormat="1" applyFont="1" applyFill="1"/>
    <xf numFmtId="40" fontId="5" fillId="3" borderId="0" xfId="0" applyNumberFormat="1" applyFont="1" applyFill="1" applyProtection="1">
      <protection locked="0"/>
    </xf>
    <xf numFmtId="40" fontId="5" fillId="6" borderId="0" xfId="0" applyNumberFormat="1" applyFont="1" applyFill="1"/>
    <xf numFmtId="173" fontId="5" fillId="0" borderId="2" xfId="0" applyNumberFormat="1" applyFont="1" applyBorder="1"/>
    <xf numFmtId="0" fontId="5" fillId="6" borderId="0" xfId="0" applyFont="1" applyFill="1" applyBorder="1" applyAlignment="1">
      <alignment horizontal="left"/>
    </xf>
    <xf numFmtId="0" fontId="8" fillId="6" borderId="0" xfId="0" applyFont="1" applyFill="1"/>
    <xf numFmtId="40" fontId="6" fillId="0" borderId="0" xfId="0" applyNumberFormat="1" applyFont="1" applyFill="1" applyBorder="1"/>
    <xf numFmtId="40" fontId="23" fillId="0" borderId="2" xfId="0" applyNumberFormat="1" applyFont="1" applyFill="1" applyBorder="1"/>
    <xf numFmtId="0" fontId="23" fillId="0" borderId="2" xfId="0" applyFont="1" applyFill="1" applyBorder="1"/>
    <xf numFmtId="40" fontId="24" fillId="0" borderId="0" xfId="0" applyNumberFormat="1" applyFont="1" applyFill="1" applyBorder="1"/>
    <xf numFmtId="0" fontId="24" fillId="0" borderId="0" xfId="0" applyFont="1" applyFill="1" applyBorder="1"/>
    <xf numFmtId="40" fontId="5" fillId="0" borderId="8" xfId="0" applyNumberFormat="1" applyFont="1" applyBorder="1" applyProtection="1">
      <protection locked="0"/>
    </xf>
    <xf numFmtId="40" fontId="5" fillId="0" borderId="3" xfId="0" applyNumberFormat="1" applyFont="1" applyBorder="1" applyProtection="1">
      <protection locked="0"/>
    </xf>
    <xf numFmtId="40" fontId="5" fillId="0" borderId="0" xfId="0" applyNumberFormat="1" applyFont="1" applyFill="1" applyProtection="1">
      <protection locked="0"/>
    </xf>
    <xf numFmtId="0" fontId="5" fillId="0" borderId="1" xfId="0" applyFont="1" applyFill="1" applyBorder="1"/>
    <xf numFmtId="175" fontId="5" fillId="0" borderId="2" xfId="0" applyNumberFormat="1" applyFont="1" applyBorder="1"/>
    <xf numFmtId="40" fontId="25" fillId="0" borderId="2" xfId="0" applyNumberFormat="1" applyFont="1" applyBorder="1"/>
    <xf numFmtId="40" fontId="8" fillId="7" borderId="0" xfId="0" applyNumberFormat="1" applyFont="1" applyFill="1"/>
    <xf numFmtId="40" fontId="5" fillId="7" borderId="0" xfId="0" applyNumberFormat="1" applyFont="1" applyFill="1"/>
    <xf numFmtId="40" fontId="5" fillId="0" borderId="0" xfId="0" applyNumberFormat="1" applyFont="1" applyBorder="1"/>
    <xf numFmtId="0" fontId="12" fillId="3" borderId="0" xfId="3" applyFont="1" applyFill="1" applyAlignment="1" applyProtection="1"/>
    <xf numFmtId="176" fontId="5" fillId="0" borderId="2" xfId="0" applyNumberFormat="1" applyFont="1" applyBorder="1"/>
    <xf numFmtId="168" fontId="5" fillId="0" borderId="0" xfId="0" applyNumberFormat="1" applyFont="1"/>
    <xf numFmtId="49" fontId="5" fillId="0" borderId="0" xfId="0" applyNumberFormat="1" applyFont="1"/>
    <xf numFmtId="174" fontId="5" fillId="0" borderId="0" xfId="0" applyNumberFormat="1" applyFont="1"/>
    <xf numFmtId="40" fontId="5" fillId="0" borderId="0" xfId="0" applyNumberFormat="1" applyFont="1" applyAlignment="1">
      <alignment horizontal="center"/>
    </xf>
    <xf numFmtId="3" fontId="5" fillId="3" borderId="0" xfId="0" applyNumberFormat="1" applyFont="1" applyFill="1"/>
    <xf numFmtId="3" fontId="5" fillId="0" borderId="0" xfId="0" applyNumberFormat="1" applyFont="1"/>
    <xf numFmtId="40" fontId="5" fillId="0" borderId="7" xfId="0" applyNumberFormat="1" applyFont="1" applyBorder="1"/>
    <xf numFmtId="10" fontId="5" fillId="0" borderId="2" xfId="0" applyNumberFormat="1" applyFont="1" applyBorder="1"/>
    <xf numFmtId="181" fontId="5" fillId="0" borderId="8" xfId="2" applyNumberFormat="1" applyFont="1" applyBorder="1"/>
    <xf numFmtId="40" fontId="6" fillId="0" borderId="0" xfId="0" applyNumberFormat="1" applyFont="1"/>
    <xf numFmtId="0" fontId="5" fillId="0" borderId="10" xfId="0" applyFont="1" applyBorder="1"/>
    <xf numFmtId="40" fontId="27" fillId="0" borderId="0" xfId="3" applyNumberFormat="1" applyFont="1" applyAlignment="1" applyProtection="1"/>
    <xf numFmtId="40" fontId="12" fillId="0" borderId="0" xfId="3" applyNumberFormat="1" applyFont="1" applyAlignment="1" applyProtection="1"/>
    <xf numFmtId="0" fontId="5" fillId="0" borderId="11" xfId="0" applyFont="1" applyBorder="1"/>
    <xf numFmtId="0" fontId="16" fillId="4" borderId="0" xfId="0" applyFont="1" applyFill="1"/>
    <xf numFmtId="0" fontId="5" fillId="4" borderId="0" xfId="0" applyFont="1" applyFill="1"/>
    <xf numFmtId="0" fontId="28" fillId="0" borderId="18" xfId="0" applyFont="1" applyBorder="1" applyAlignment="1">
      <alignment vertical="center"/>
    </xf>
    <xf numFmtId="0" fontId="29" fillId="0" borderId="0" xfId="0" applyFont="1"/>
    <xf numFmtId="6" fontId="29" fillId="0" borderId="0" xfId="0" applyNumberFormat="1" applyFont="1" applyBorder="1" applyAlignment="1">
      <alignment horizontal="left" vertical="center"/>
    </xf>
    <xf numFmtId="0" fontId="29" fillId="0" borderId="0" xfId="0" applyFont="1" applyBorder="1" applyAlignment="1">
      <alignment vertical="center"/>
    </xf>
    <xf numFmtId="0" fontId="30" fillId="0" borderId="0" xfId="0" applyFont="1" applyBorder="1" applyAlignment="1">
      <alignment vertical="center"/>
    </xf>
    <xf numFmtId="0" fontId="31" fillId="0" borderId="0" xfId="0" applyFont="1" applyBorder="1" applyAlignment="1">
      <alignment vertical="center"/>
    </xf>
    <xf numFmtId="0" fontId="30" fillId="0" borderId="0" xfId="0" applyFont="1" applyAlignment="1">
      <alignment vertical="center"/>
    </xf>
    <xf numFmtId="0" fontId="26" fillId="0" borderId="0" xfId="0" applyFont="1"/>
    <xf numFmtId="167" fontId="5" fillId="0" borderId="2" xfId="0" applyNumberFormat="1" applyFont="1" applyBorder="1"/>
    <xf numFmtId="1" fontId="5" fillId="0" borderId="2" xfId="0" applyNumberFormat="1" applyFont="1" applyBorder="1"/>
    <xf numFmtId="40" fontId="26" fillId="0" borderId="0" xfId="0" applyNumberFormat="1" applyFont="1" applyFill="1" applyBorder="1"/>
    <xf numFmtId="0" fontId="26" fillId="0" borderId="0" xfId="0" applyFont="1" applyFill="1" applyBorder="1"/>
    <xf numFmtId="0" fontId="32" fillId="0" borderId="0" xfId="5" applyFont="1" applyAlignment="1">
      <alignment vertical="center"/>
    </xf>
    <xf numFmtId="0" fontId="29" fillId="0" borderId="0" xfId="5" applyFont="1" applyAlignment="1">
      <alignment vertical="center"/>
    </xf>
    <xf numFmtId="183" fontId="34" fillId="0" borderId="0" xfId="4" quotePrefix="1" applyNumberFormat="1" applyFont="1" applyAlignment="1">
      <alignment horizontal="left" vertical="center"/>
    </xf>
    <xf numFmtId="182" fontId="29" fillId="0" borderId="0" xfId="5" applyNumberFormat="1" applyFont="1" applyAlignment="1">
      <alignment vertical="center"/>
    </xf>
    <xf numFmtId="0" fontId="6" fillId="0" borderId="6" xfId="0" applyFont="1" applyBorder="1"/>
    <xf numFmtId="165" fontId="6" fillId="0" borderId="0" xfId="1" applyNumberFormat="1" applyFont="1" applyFill="1"/>
    <xf numFmtId="165" fontId="35" fillId="4" borderId="0" xfId="1" applyNumberFormat="1" applyFont="1" applyFill="1"/>
    <xf numFmtId="49" fontId="5" fillId="0" borderId="2" xfId="0" applyNumberFormat="1" applyFont="1" applyBorder="1" applyAlignment="1">
      <alignment horizontal="left"/>
    </xf>
    <xf numFmtId="177" fontId="5" fillId="0" borderId="8" xfId="1" applyNumberFormat="1" applyFont="1" applyBorder="1"/>
    <xf numFmtId="178" fontId="5" fillId="0" borderId="2" xfId="1" applyNumberFormat="1" applyFont="1" applyBorder="1"/>
    <xf numFmtId="49" fontId="5" fillId="0" borderId="13" xfId="0" applyNumberFormat="1" applyFont="1" applyBorder="1" applyAlignment="1">
      <alignment horizontal="left"/>
    </xf>
    <xf numFmtId="177" fontId="5" fillId="0" borderId="3" xfId="1" applyNumberFormat="1" applyFont="1" applyBorder="1"/>
    <xf numFmtId="178" fontId="5" fillId="0" borderId="13" xfId="1" applyNumberFormat="1" applyFont="1" applyBorder="1"/>
    <xf numFmtId="184" fontId="5" fillId="0" borderId="2" xfId="1" applyNumberFormat="1" applyFont="1" applyBorder="1" applyAlignment="1">
      <alignment horizontal="left"/>
    </xf>
    <xf numFmtId="0" fontId="34" fillId="0" borderId="0" xfId="4" applyFont="1"/>
    <xf numFmtId="168" fontId="5" fillId="0" borderId="2" xfId="1" quotePrefix="1" applyNumberFormat="1" applyFont="1" applyBorder="1" applyAlignment="1">
      <alignment horizontal="left"/>
    </xf>
    <xf numFmtId="0" fontId="6" fillId="0" borderId="0" xfId="0" applyFont="1" applyFill="1" applyAlignment="1">
      <alignment horizontal="left" indent="1"/>
    </xf>
    <xf numFmtId="40" fontId="6" fillId="0" borderId="0" xfId="0" applyNumberFormat="1" applyFont="1" applyFill="1" applyAlignment="1">
      <alignment horizontal="right"/>
    </xf>
    <xf numFmtId="0" fontId="5" fillId="0" borderId="0" xfId="0" applyFont="1" applyFill="1" applyAlignment="1" applyProtection="1">
      <alignment horizontal="left" indent="1"/>
      <protection locked="0"/>
    </xf>
    <xf numFmtId="38" fontId="5" fillId="0" borderId="0" xfId="2" applyNumberFormat="1" applyFont="1" applyFill="1" applyProtection="1"/>
    <xf numFmtId="179" fontId="5" fillId="0" borderId="0" xfId="2" applyNumberFormat="1" applyFont="1" applyFill="1" applyProtection="1"/>
    <xf numFmtId="38" fontId="6" fillId="0" borderId="7" xfId="0" applyNumberFormat="1" applyFont="1" applyFill="1" applyBorder="1"/>
    <xf numFmtId="0" fontId="33" fillId="4" borderId="19" xfId="5" applyFont="1" applyFill="1" applyBorder="1" applyAlignment="1">
      <alignment horizontal="right" vertical="center"/>
    </xf>
    <xf numFmtId="181" fontId="33" fillId="4" borderId="19" xfId="5" applyNumberFormat="1" applyFont="1" applyFill="1" applyBorder="1" applyAlignment="1">
      <alignment horizontal="left" vertical="center"/>
    </xf>
    <xf numFmtId="0" fontId="13" fillId="8" borderId="0" xfId="0" applyFont="1" applyFill="1" applyAlignment="1">
      <alignment horizontal="left" wrapText="1"/>
    </xf>
    <xf numFmtId="0" fontId="6" fillId="6" borderId="1" xfId="0" applyFont="1" applyFill="1" applyBorder="1"/>
    <xf numFmtId="14" fontId="6" fillId="6" borderId="0" xfId="0" applyNumberFormat="1" applyFont="1" applyFill="1" applyBorder="1" applyAlignment="1" applyProtection="1">
      <alignment horizontal="right"/>
      <protection locked="0"/>
    </xf>
    <xf numFmtId="0" fontId="37" fillId="0" borderId="0" xfId="0" applyFont="1" applyAlignment="1">
      <alignment horizontal="left" wrapText="1"/>
    </xf>
    <xf numFmtId="0" fontId="36" fillId="0" borderId="0" xfId="0" applyFont="1" applyAlignment="1">
      <alignment horizontal="left" wrapText="1"/>
    </xf>
  </cellXfs>
  <cellStyles count="6">
    <cellStyle name="Comma" xfId="1" builtinId="3"/>
    <cellStyle name="Currency" xfId="2" builtinId="4"/>
    <cellStyle name="Explanatory Text" xfId="4" builtinId="53"/>
    <cellStyle name="Hyperlink" xfId="3" builtinId="8"/>
    <cellStyle name="Normal" xfId="0" builtinId="0"/>
    <cellStyle name="Normal 2" xfId="5" xr:uid="{00000000-0005-0000-0000-00000500000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3" name="Rectangle 2">
          <a:extLst>
            <a:ext uri="{FF2B5EF4-FFF2-40B4-BE49-F238E27FC236}">
              <a16:creationId xmlns:a16="http://schemas.microsoft.com/office/drawing/2014/main" id="{C817641A-29BC-40C9-8005-B78F925F1BC1}"/>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9071</xdr:colOff>
      <xdr:row>1</xdr:row>
      <xdr:rowOff>190501</xdr:rowOff>
    </xdr:from>
    <xdr:to>
      <xdr:col>0</xdr:col>
      <xdr:colOff>513896</xdr:colOff>
      <xdr:row>3</xdr:row>
      <xdr:rowOff>134440</xdr:rowOff>
    </xdr:to>
    <xdr:pic>
      <xdr:nvPicPr>
        <xdr:cNvPr id="5" name="Picture 4">
          <a:extLst>
            <a:ext uri="{FF2B5EF4-FFF2-40B4-BE49-F238E27FC236}">
              <a16:creationId xmlns:a16="http://schemas.microsoft.com/office/drawing/2014/main" id="{01BC8F4F-4970-4CEA-B788-2C57052334D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1" y="417287"/>
          <a:ext cx="504825" cy="39751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561CBF84-6083-4544-9C14-DA6F16E54108}"/>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0</xdr:colOff>
      <xdr:row>1</xdr:row>
      <xdr:rowOff>190521</xdr:rowOff>
    </xdr:from>
    <xdr:to>
      <xdr:col>0</xdr:col>
      <xdr:colOff>504825</xdr:colOff>
      <xdr:row>3</xdr:row>
      <xdr:rowOff>134460</xdr:rowOff>
    </xdr:to>
    <xdr:pic>
      <xdr:nvPicPr>
        <xdr:cNvPr id="3" name="Picture 2">
          <a:extLst>
            <a:ext uri="{FF2B5EF4-FFF2-40B4-BE49-F238E27FC236}">
              <a16:creationId xmlns:a16="http://schemas.microsoft.com/office/drawing/2014/main" id="{249336B0-EA94-45FF-9E67-A435888195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17307"/>
          <a:ext cx="504825" cy="3975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49D4FBEF-CE9B-4816-B794-85452744D168}"/>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0</xdr:colOff>
      <xdr:row>1</xdr:row>
      <xdr:rowOff>190501</xdr:rowOff>
    </xdr:from>
    <xdr:to>
      <xdr:col>0</xdr:col>
      <xdr:colOff>504825</xdr:colOff>
      <xdr:row>3</xdr:row>
      <xdr:rowOff>134440</xdr:rowOff>
    </xdr:to>
    <xdr:pic>
      <xdr:nvPicPr>
        <xdr:cNvPr id="3" name="Picture 2">
          <a:extLst>
            <a:ext uri="{FF2B5EF4-FFF2-40B4-BE49-F238E27FC236}">
              <a16:creationId xmlns:a16="http://schemas.microsoft.com/office/drawing/2014/main" id="{7BD6D186-99C9-455B-A3A0-8587DA4A7EC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17287"/>
          <a:ext cx="504825" cy="39751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3976425F-1AE8-499E-8054-7C1247CEAB16}"/>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0</xdr:colOff>
      <xdr:row>1</xdr:row>
      <xdr:rowOff>190501</xdr:rowOff>
    </xdr:from>
    <xdr:to>
      <xdr:col>0</xdr:col>
      <xdr:colOff>504825</xdr:colOff>
      <xdr:row>3</xdr:row>
      <xdr:rowOff>134440</xdr:rowOff>
    </xdr:to>
    <xdr:pic>
      <xdr:nvPicPr>
        <xdr:cNvPr id="3" name="Picture 2">
          <a:extLst>
            <a:ext uri="{FF2B5EF4-FFF2-40B4-BE49-F238E27FC236}">
              <a16:creationId xmlns:a16="http://schemas.microsoft.com/office/drawing/2014/main" id="{FB402B14-07F0-43C4-85DC-FEF16FAD542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17287"/>
          <a:ext cx="504825" cy="39751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ADC4170B-EE1F-47A2-B3A3-60FB4C880199}"/>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0</xdr:colOff>
      <xdr:row>1</xdr:row>
      <xdr:rowOff>190501</xdr:rowOff>
    </xdr:from>
    <xdr:to>
      <xdr:col>0</xdr:col>
      <xdr:colOff>504825</xdr:colOff>
      <xdr:row>3</xdr:row>
      <xdr:rowOff>134440</xdr:rowOff>
    </xdr:to>
    <xdr:pic>
      <xdr:nvPicPr>
        <xdr:cNvPr id="3" name="Picture 2">
          <a:extLst>
            <a:ext uri="{FF2B5EF4-FFF2-40B4-BE49-F238E27FC236}">
              <a16:creationId xmlns:a16="http://schemas.microsoft.com/office/drawing/2014/main" id="{32614B21-C1E7-47F0-B5BD-710ED0D2DB3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17287"/>
          <a:ext cx="504825" cy="39751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6924AAC3-0965-4877-9B52-41D8ECC6F1AC}"/>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0</xdr:colOff>
      <xdr:row>1</xdr:row>
      <xdr:rowOff>190501</xdr:rowOff>
    </xdr:from>
    <xdr:to>
      <xdr:col>0</xdr:col>
      <xdr:colOff>504825</xdr:colOff>
      <xdr:row>3</xdr:row>
      <xdr:rowOff>134440</xdr:rowOff>
    </xdr:to>
    <xdr:pic>
      <xdr:nvPicPr>
        <xdr:cNvPr id="3" name="Picture 2">
          <a:extLst>
            <a:ext uri="{FF2B5EF4-FFF2-40B4-BE49-F238E27FC236}">
              <a16:creationId xmlns:a16="http://schemas.microsoft.com/office/drawing/2014/main" id="{96BB9342-B243-4F80-8FC4-28C29520C9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17287"/>
          <a:ext cx="504825" cy="39751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881289</xdr:colOff>
      <xdr:row>1</xdr:row>
      <xdr:rowOff>165100</xdr:rowOff>
    </xdr:to>
    <xdr:sp macro="" textlink="">
      <xdr:nvSpPr>
        <xdr:cNvPr id="2" name="Rectangle 1">
          <a:extLst>
            <a:ext uri="{FF2B5EF4-FFF2-40B4-BE49-F238E27FC236}">
              <a16:creationId xmlns:a16="http://schemas.microsoft.com/office/drawing/2014/main" id="{38A71540-42B1-4A0B-A57F-94AE6B625205}"/>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1</xdr:col>
      <xdr:colOff>916217</xdr:colOff>
      <xdr:row>0</xdr:row>
      <xdr:rowOff>199573</xdr:rowOff>
    </xdr:from>
    <xdr:to>
      <xdr:col>3</xdr:col>
      <xdr:colOff>42185</xdr:colOff>
      <xdr:row>2</xdr:row>
      <xdr:rowOff>143512</xdr:rowOff>
    </xdr:to>
    <xdr:pic>
      <xdr:nvPicPr>
        <xdr:cNvPr id="3" name="Picture 2">
          <a:extLst>
            <a:ext uri="{FF2B5EF4-FFF2-40B4-BE49-F238E27FC236}">
              <a16:creationId xmlns:a16="http://schemas.microsoft.com/office/drawing/2014/main" id="{50483E56-893D-4048-BF0B-954C7EC5E68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3" y="199573"/>
          <a:ext cx="504825" cy="39751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881289</xdr:colOff>
      <xdr:row>1</xdr:row>
      <xdr:rowOff>165100</xdr:rowOff>
    </xdr:to>
    <xdr:sp macro="" textlink="">
      <xdr:nvSpPr>
        <xdr:cNvPr id="2" name="Rectangle 1">
          <a:extLst>
            <a:ext uri="{FF2B5EF4-FFF2-40B4-BE49-F238E27FC236}">
              <a16:creationId xmlns:a16="http://schemas.microsoft.com/office/drawing/2014/main" id="{C781557F-6F9B-4CE0-A907-40E39D32C510}"/>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1</xdr:col>
      <xdr:colOff>916222</xdr:colOff>
      <xdr:row>1</xdr:row>
      <xdr:rowOff>0</xdr:rowOff>
    </xdr:from>
    <xdr:to>
      <xdr:col>3</xdr:col>
      <xdr:colOff>42190</xdr:colOff>
      <xdr:row>2</xdr:row>
      <xdr:rowOff>170725</xdr:rowOff>
    </xdr:to>
    <xdr:pic>
      <xdr:nvPicPr>
        <xdr:cNvPr id="3" name="Picture 2">
          <a:extLst>
            <a:ext uri="{FF2B5EF4-FFF2-40B4-BE49-F238E27FC236}">
              <a16:creationId xmlns:a16="http://schemas.microsoft.com/office/drawing/2014/main" id="{0C666D6A-B700-4D47-8EAB-103A84AE27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8" y="226786"/>
          <a:ext cx="504825" cy="39751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110218</xdr:colOff>
      <xdr:row>1</xdr:row>
      <xdr:rowOff>165100</xdr:rowOff>
    </xdr:to>
    <xdr:sp macro="" textlink="">
      <xdr:nvSpPr>
        <xdr:cNvPr id="2" name="Rectangle 1">
          <a:extLst>
            <a:ext uri="{FF2B5EF4-FFF2-40B4-BE49-F238E27FC236}">
              <a16:creationId xmlns:a16="http://schemas.microsoft.com/office/drawing/2014/main" id="{2D3DAE20-0F0C-431B-B952-D621B30DA0B8}"/>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0</xdr:colOff>
      <xdr:row>2</xdr:row>
      <xdr:rowOff>9071</xdr:rowOff>
    </xdr:from>
    <xdr:to>
      <xdr:col>0</xdr:col>
      <xdr:colOff>504825</xdr:colOff>
      <xdr:row>3</xdr:row>
      <xdr:rowOff>179795</xdr:rowOff>
    </xdr:to>
    <xdr:pic>
      <xdr:nvPicPr>
        <xdr:cNvPr id="3" name="Picture 2">
          <a:extLst>
            <a:ext uri="{FF2B5EF4-FFF2-40B4-BE49-F238E27FC236}">
              <a16:creationId xmlns:a16="http://schemas.microsoft.com/office/drawing/2014/main" id="{6A278F01-7A42-4B14-BE67-CAA39510F6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62642"/>
          <a:ext cx="504825" cy="39751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110218</xdr:colOff>
      <xdr:row>1</xdr:row>
      <xdr:rowOff>165100</xdr:rowOff>
    </xdr:to>
    <xdr:sp macro="" textlink="">
      <xdr:nvSpPr>
        <xdr:cNvPr id="2" name="Rectangle 1">
          <a:extLst>
            <a:ext uri="{FF2B5EF4-FFF2-40B4-BE49-F238E27FC236}">
              <a16:creationId xmlns:a16="http://schemas.microsoft.com/office/drawing/2014/main" id="{5409D99A-A33F-41D5-8F9A-A94DF291408E}"/>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0</xdr:colOff>
      <xdr:row>2</xdr:row>
      <xdr:rowOff>0</xdr:rowOff>
    </xdr:from>
    <xdr:to>
      <xdr:col>0</xdr:col>
      <xdr:colOff>504825</xdr:colOff>
      <xdr:row>3</xdr:row>
      <xdr:rowOff>170724</xdr:rowOff>
    </xdr:to>
    <xdr:pic>
      <xdr:nvPicPr>
        <xdr:cNvPr id="3" name="Picture 2">
          <a:extLst>
            <a:ext uri="{FF2B5EF4-FFF2-40B4-BE49-F238E27FC236}">
              <a16:creationId xmlns:a16="http://schemas.microsoft.com/office/drawing/2014/main" id="{C95F0D62-B968-409E-AE92-3B1AF87664F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53571"/>
          <a:ext cx="504825" cy="39751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CAB60A4B-E3BA-499F-8B35-3EEAA9694814}"/>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1533063</xdr:colOff>
      <xdr:row>0</xdr:row>
      <xdr:rowOff>199571</xdr:rowOff>
    </xdr:from>
    <xdr:to>
      <xdr:col>0</xdr:col>
      <xdr:colOff>2037888</xdr:colOff>
      <xdr:row>2</xdr:row>
      <xdr:rowOff>143510</xdr:rowOff>
    </xdr:to>
    <xdr:pic>
      <xdr:nvPicPr>
        <xdr:cNvPr id="3" name="Picture 2">
          <a:extLst>
            <a:ext uri="{FF2B5EF4-FFF2-40B4-BE49-F238E27FC236}">
              <a16:creationId xmlns:a16="http://schemas.microsoft.com/office/drawing/2014/main" id="{278B6C26-EA59-485F-AF03-83349A9748F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063" y="199571"/>
          <a:ext cx="504825" cy="39751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F36185DB-A29A-42B1-92F9-AD93E952309A}"/>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1524002</xdr:colOff>
      <xdr:row>0</xdr:row>
      <xdr:rowOff>54426</xdr:rowOff>
    </xdr:from>
    <xdr:to>
      <xdr:col>0</xdr:col>
      <xdr:colOff>2028827</xdr:colOff>
      <xdr:row>1</xdr:row>
      <xdr:rowOff>225150</xdr:rowOff>
    </xdr:to>
    <xdr:pic>
      <xdr:nvPicPr>
        <xdr:cNvPr id="3" name="Picture 2">
          <a:extLst>
            <a:ext uri="{FF2B5EF4-FFF2-40B4-BE49-F238E27FC236}">
              <a16:creationId xmlns:a16="http://schemas.microsoft.com/office/drawing/2014/main" id="{B523752E-EF9C-46F8-B993-2CF806578D5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2" y="54426"/>
          <a:ext cx="504825" cy="39751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A04957F1-D789-4564-AD81-4961ACB45FAB}"/>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1533073</xdr:colOff>
      <xdr:row>0</xdr:row>
      <xdr:rowOff>45355</xdr:rowOff>
    </xdr:from>
    <xdr:to>
      <xdr:col>0</xdr:col>
      <xdr:colOff>2037898</xdr:colOff>
      <xdr:row>1</xdr:row>
      <xdr:rowOff>216079</xdr:rowOff>
    </xdr:to>
    <xdr:pic>
      <xdr:nvPicPr>
        <xdr:cNvPr id="3" name="Picture 2">
          <a:extLst>
            <a:ext uri="{FF2B5EF4-FFF2-40B4-BE49-F238E27FC236}">
              <a16:creationId xmlns:a16="http://schemas.microsoft.com/office/drawing/2014/main" id="{12E68716-7183-4BFA-B3D4-FC3DA1EF52F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073" y="45355"/>
          <a:ext cx="504825" cy="39751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6AB920CB-0931-4274-B538-A291A97C6A3A}"/>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1533072</xdr:colOff>
      <xdr:row>0</xdr:row>
      <xdr:rowOff>0</xdr:rowOff>
    </xdr:from>
    <xdr:to>
      <xdr:col>0</xdr:col>
      <xdr:colOff>2037897</xdr:colOff>
      <xdr:row>1</xdr:row>
      <xdr:rowOff>170724</xdr:rowOff>
    </xdr:to>
    <xdr:pic>
      <xdr:nvPicPr>
        <xdr:cNvPr id="3" name="Picture 2">
          <a:extLst>
            <a:ext uri="{FF2B5EF4-FFF2-40B4-BE49-F238E27FC236}">
              <a16:creationId xmlns:a16="http://schemas.microsoft.com/office/drawing/2014/main" id="{891F1CD3-93DA-4B56-B239-35DF6CEDF0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072" y="0"/>
          <a:ext cx="504825" cy="39751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573C1B6F-66F4-4423-AFED-EB2F37F31506}"/>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1524001</xdr:colOff>
      <xdr:row>0</xdr:row>
      <xdr:rowOff>45357</xdr:rowOff>
    </xdr:from>
    <xdr:to>
      <xdr:col>0</xdr:col>
      <xdr:colOff>2028826</xdr:colOff>
      <xdr:row>1</xdr:row>
      <xdr:rowOff>216081</xdr:rowOff>
    </xdr:to>
    <xdr:pic>
      <xdr:nvPicPr>
        <xdr:cNvPr id="3" name="Picture 2">
          <a:extLst>
            <a:ext uri="{FF2B5EF4-FFF2-40B4-BE49-F238E27FC236}">
              <a16:creationId xmlns:a16="http://schemas.microsoft.com/office/drawing/2014/main" id="{65E17747-376A-4F13-96D2-7B2B7923DDE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1" y="45357"/>
          <a:ext cx="504825" cy="3975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DB708068-8A5B-4475-B963-7E4C23D9886D}"/>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1524002</xdr:colOff>
      <xdr:row>0</xdr:row>
      <xdr:rowOff>45355</xdr:rowOff>
    </xdr:from>
    <xdr:to>
      <xdr:col>0</xdr:col>
      <xdr:colOff>2028827</xdr:colOff>
      <xdr:row>1</xdr:row>
      <xdr:rowOff>216079</xdr:rowOff>
    </xdr:to>
    <xdr:pic>
      <xdr:nvPicPr>
        <xdr:cNvPr id="3" name="Picture 2">
          <a:extLst>
            <a:ext uri="{FF2B5EF4-FFF2-40B4-BE49-F238E27FC236}">
              <a16:creationId xmlns:a16="http://schemas.microsoft.com/office/drawing/2014/main" id="{8965B720-6840-4496-8D7D-BFC81326CC8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2" y="45355"/>
          <a:ext cx="504825" cy="39751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F4D47D58-05DF-4AD1-9424-FECF9169C528}"/>
            </a:ext>
          </a:extLst>
        </xdr:cNvPr>
        <xdr:cNvSpPr/>
      </xdr:nvSpPr>
      <xdr:spPr>
        <a:xfrm>
          <a:off x="0" y="228600"/>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1523998</xdr:colOff>
      <xdr:row>0</xdr:row>
      <xdr:rowOff>45355</xdr:rowOff>
    </xdr:from>
    <xdr:to>
      <xdr:col>0</xdr:col>
      <xdr:colOff>2028823</xdr:colOff>
      <xdr:row>1</xdr:row>
      <xdr:rowOff>216079</xdr:rowOff>
    </xdr:to>
    <xdr:pic>
      <xdr:nvPicPr>
        <xdr:cNvPr id="3" name="Picture 2">
          <a:extLst>
            <a:ext uri="{FF2B5EF4-FFF2-40B4-BE49-F238E27FC236}">
              <a16:creationId xmlns:a16="http://schemas.microsoft.com/office/drawing/2014/main" id="{E1ED1202-2BD5-49C7-BAD8-1FA02B810F5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3998" y="45355"/>
          <a:ext cx="504825" cy="397510"/>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9ECD7F76-9611-40DC-93AF-D65650DC768E}"/>
            </a:ext>
          </a:extLst>
        </xdr:cNvPr>
        <xdr:cNvSpPr/>
      </xdr:nvSpPr>
      <xdr:spPr>
        <a:xfrm>
          <a:off x="0" y="228600"/>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1533075</xdr:colOff>
      <xdr:row>0</xdr:row>
      <xdr:rowOff>45358</xdr:rowOff>
    </xdr:from>
    <xdr:to>
      <xdr:col>0</xdr:col>
      <xdr:colOff>2037900</xdr:colOff>
      <xdr:row>1</xdr:row>
      <xdr:rowOff>216082</xdr:rowOff>
    </xdr:to>
    <xdr:pic>
      <xdr:nvPicPr>
        <xdr:cNvPr id="3" name="Picture 2">
          <a:extLst>
            <a:ext uri="{FF2B5EF4-FFF2-40B4-BE49-F238E27FC236}">
              <a16:creationId xmlns:a16="http://schemas.microsoft.com/office/drawing/2014/main" id="{3BD30D87-A662-42E9-92FA-FF77548535A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075" y="45358"/>
          <a:ext cx="504825" cy="39751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FA0174DB-38C8-4E46-A227-13659B6E672D}"/>
            </a:ext>
          </a:extLst>
        </xdr:cNvPr>
        <xdr:cNvSpPr/>
      </xdr:nvSpPr>
      <xdr:spPr>
        <a:xfrm>
          <a:off x="0" y="228600"/>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1524001</xdr:colOff>
      <xdr:row>0</xdr:row>
      <xdr:rowOff>45357</xdr:rowOff>
    </xdr:from>
    <xdr:to>
      <xdr:col>0</xdr:col>
      <xdr:colOff>2028826</xdr:colOff>
      <xdr:row>1</xdr:row>
      <xdr:rowOff>216081</xdr:rowOff>
    </xdr:to>
    <xdr:pic>
      <xdr:nvPicPr>
        <xdr:cNvPr id="3" name="Picture 2">
          <a:extLst>
            <a:ext uri="{FF2B5EF4-FFF2-40B4-BE49-F238E27FC236}">
              <a16:creationId xmlns:a16="http://schemas.microsoft.com/office/drawing/2014/main" id="{17E5FE4A-C47B-4718-81D3-F8510ACBAE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1" y="45357"/>
          <a:ext cx="504825" cy="39751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EA28BADB-0B0A-4AC2-BBD6-FCCEBB09FA67}"/>
            </a:ext>
          </a:extLst>
        </xdr:cNvPr>
        <xdr:cNvSpPr/>
      </xdr:nvSpPr>
      <xdr:spPr>
        <a:xfrm>
          <a:off x="0" y="228600"/>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1533071</xdr:colOff>
      <xdr:row>0</xdr:row>
      <xdr:rowOff>45355</xdr:rowOff>
    </xdr:from>
    <xdr:to>
      <xdr:col>0</xdr:col>
      <xdr:colOff>2037896</xdr:colOff>
      <xdr:row>1</xdr:row>
      <xdr:rowOff>216079</xdr:rowOff>
    </xdr:to>
    <xdr:pic>
      <xdr:nvPicPr>
        <xdr:cNvPr id="3" name="Picture 2">
          <a:extLst>
            <a:ext uri="{FF2B5EF4-FFF2-40B4-BE49-F238E27FC236}">
              <a16:creationId xmlns:a16="http://schemas.microsoft.com/office/drawing/2014/main" id="{B39FAA53-57F7-420E-A5DD-53F6AD7EC4A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071" y="45355"/>
          <a:ext cx="504825" cy="397510"/>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1455DAC1-6AF1-468D-A101-7C75071BF9B5}"/>
            </a:ext>
          </a:extLst>
        </xdr:cNvPr>
        <xdr:cNvSpPr/>
      </xdr:nvSpPr>
      <xdr:spPr>
        <a:xfrm>
          <a:off x="0" y="228600"/>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1524000</xdr:colOff>
      <xdr:row>0</xdr:row>
      <xdr:rowOff>45355</xdr:rowOff>
    </xdr:from>
    <xdr:to>
      <xdr:col>0</xdr:col>
      <xdr:colOff>2028825</xdr:colOff>
      <xdr:row>1</xdr:row>
      <xdr:rowOff>216079</xdr:rowOff>
    </xdr:to>
    <xdr:pic>
      <xdr:nvPicPr>
        <xdr:cNvPr id="3" name="Picture 2">
          <a:extLst>
            <a:ext uri="{FF2B5EF4-FFF2-40B4-BE49-F238E27FC236}">
              <a16:creationId xmlns:a16="http://schemas.microsoft.com/office/drawing/2014/main" id="{7E740412-D0D5-4F6B-9A9C-4FE8B13488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0" y="45355"/>
          <a:ext cx="504825" cy="39751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CBE27B6F-1AFB-4422-ACF7-1A84AAF85E6C}"/>
            </a:ext>
          </a:extLst>
        </xdr:cNvPr>
        <xdr:cNvSpPr/>
      </xdr:nvSpPr>
      <xdr:spPr>
        <a:xfrm>
          <a:off x="0" y="228600"/>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1533071</xdr:colOff>
      <xdr:row>0</xdr:row>
      <xdr:rowOff>36284</xdr:rowOff>
    </xdr:from>
    <xdr:to>
      <xdr:col>0</xdr:col>
      <xdr:colOff>2037896</xdr:colOff>
      <xdr:row>1</xdr:row>
      <xdr:rowOff>207008</xdr:rowOff>
    </xdr:to>
    <xdr:pic>
      <xdr:nvPicPr>
        <xdr:cNvPr id="3" name="Picture 2">
          <a:extLst>
            <a:ext uri="{FF2B5EF4-FFF2-40B4-BE49-F238E27FC236}">
              <a16:creationId xmlns:a16="http://schemas.microsoft.com/office/drawing/2014/main" id="{B123E968-0749-4C61-83E9-585C8C6674D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071" y="36284"/>
          <a:ext cx="504825" cy="39751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1489075</xdr:colOff>
      <xdr:row>1</xdr:row>
      <xdr:rowOff>165100</xdr:rowOff>
    </xdr:to>
    <xdr:sp macro="" textlink="">
      <xdr:nvSpPr>
        <xdr:cNvPr id="2" name="Rectangle 1">
          <a:extLst>
            <a:ext uri="{FF2B5EF4-FFF2-40B4-BE49-F238E27FC236}">
              <a16:creationId xmlns:a16="http://schemas.microsoft.com/office/drawing/2014/main" id="{51842F42-2577-4C04-960A-6394597BA65C}"/>
            </a:ext>
          </a:extLst>
        </xdr:cNvPr>
        <xdr:cNvSpPr/>
      </xdr:nvSpPr>
      <xdr:spPr>
        <a:xfrm>
          <a:off x="0" y="199571"/>
          <a:ext cx="1489075" cy="165100"/>
        </a:xfrm>
        <a:prstGeom prst="rect">
          <a:avLst/>
        </a:prstGeom>
        <a:solidFill>
          <a:schemeClr val="tx1">
            <a:lumMod val="95000"/>
            <a:lumOff val="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72000" tIns="36000" rIns="72000" bIns="36000" numCol="1" spcCol="0" rtlCol="0" fromWordArt="0" anchor="ctr" anchorCtr="0" forceAA="0" compatLnSpc="1">
          <a:prstTxWarp prst="textNoShape">
            <a:avLst/>
          </a:prstTxWarp>
          <a:noAutofit/>
        </a:bodyPr>
        <a:lstStyle>
          <a:defPPr>
            <a:defRPr lang="en-US"/>
          </a:defPPr>
          <a:lvl1pPr marL="0" algn="l" defTabSz="1088776" rtl="0" eaLnBrk="1" latinLnBrk="0" hangingPunct="1">
            <a:defRPr sz="2100" kern="1200">
              <a:solidFill>
                <a:schemeClr val="lt1"/>
              </a:solidFill>
              <a:latin typeface="+mn-lt"/>
              <a:ea typeface="+mn-ea"/>
              <a:cs typeface="+mn-cs"/>
            </a:defRPr>
          </a:lvl1pPr>
          <a:lvl2pPr marL="544388" algn="l" defTabSz="1088776" rtl="0" eaLnBrk="1" latinLnBrk="0" hangingPunct="1">
            <a:defRPr sz="2100" kern="1200">
              <a:solidFill>
                <a:schemeClr val="lt1"/>
              </a:solidFill>
              <a:latin typeface="+mn-lt"/>
              <a:ea typeface="+mn-ea"/>
              <a:cs typeface="+mn-cs"/>
            </a:defRPr>
          </a:lvl2pPr>
          <a:lvl3pPr marL="1088776" algn="l" defTabSz="1088776" rtl="0" eaLnBrk="1" latinLnBrk="0" hangingPunct="1">
            <a:defRPr sz="2100" kern="1200">
              <a:solidFill>
                <a:schemeClr val="lt1"/>
              </a:solidFill>
              <a:latin typeface="+mn-lt"/>
              <a:ea typeface="+mn-ea"/>
              <a:cs typeface="+mn-cs"/>
            </a:defRPr>
          </a:lvl3pPr>
          <a:lvl4pPr marL="1633164" algn="l" defTabSz="1088776" rtl="0" eaLnBrk="1" latinLnBrk="0" hangingPunct="1">
            <a:defRPr sz="2100" kern="1200">
              <a:solidFill>
                <a:schemeClr val="lt1"/>
              </a:solidFill>
              <a:latin typeface="+mn-lt"/>
              <a:ea typeface="+mn-ea"/>
              <a:cs typeface="+mn-cs"/>
            </a:defRPr>
          </a:lvl4pPr>
          <a:lvl5pPr marL="2177552" algn="l" defTabSz="1088776" rtl="0" eaLnBrk="1" latinLnBrk="0" hangingPunct="1">
            <a:defRPr sz="2100" kern="1200">
              <a:solidFill>
                <a:schemeClr val="lt1"/>
              </a:solidFill>
              <a:latin typeface="+mn-lt"/>
              <a:ea typeface="+mn-ea"/>
              <a:cs typeface="+mn-cs"/>
            </a:defRPr>
          </a:lvl5pPr>
          <a:lvl6pPr marL="2721940" algn="l" defTabSz="1088776" rtl="0" eaLnBrk="1" latinLnBrk="0" hangingPunct="1">
            <a:defRPr sz="2100" kern="1200">
              <a:solidFill>
                <a:schemeClr val="lt1"/>
              </a:solidFill>
              <a:latin typeface="+mn-lt"/>
              <a:ea typeface="+mn-ea"/>
              <a:cs typeface="+mn-cs"/>
            </a:defRPr>
          </a:lvl6pPr>
          <a:lvl7pPr marL="3266328" algn="l" defTabSz="1088776" rtl="0" eaLnBrk="1" latinLnBrk="0" hangingPunct="1">
            <a:defRPr sz="2100" kern="1200">
              <a:solidFill>
                <a:schemeClr val="lt1"/>
              </a:solidFill>
              <a:latin typeface="+mn-lt"/>
              <a:ea typeface="+mn-ea"/>
              <a:cs typeface="+mn-cs"/>
            </a:defRPr>
          </a:lvl7pPr>
          <a:lvl8pPr marL="3810716" algn="l" defTabSz="1088776" rtl="0" eaLnBrk="1" latinLnBrk="0" hangingPunct="1">
            <a:defRPr sz="2100" kern="1200">
              <a:solidFill>
                <a:schemeClr val="lt1"/>
              </a:solidFill>
              <a:latin typeface="+mn-lt"/>
              <a:ea typeface="+mn-ea"/>
              <a:cs typeface="+mn-cs"/>
            </a:defRPr>
          </a:lvl8pPr>
          <a:lvl9pPr marL="4355104" algn="l" defTabSz="1088776" rtl="0" eaLnBrk="1" latinLnBrk="0" hangingPunct="1">
            <a:defRPr sz="2100" kern="1200">
              <a:solidFill>
                <a:schemeClr val="lt1"/>
              </a:solidFill>
              <a:latin typeface="+mn-lt"/>
              <a:ea typeface="+mn-ea"/>
              <a:cs typeface="+mn-cs"/>
            </a:defRPr>
          </a:lvl9pPr>
        </a:lstStyle>
        <a:p>
          <a:pPr algn="ctr"/>
          <a:r>
            <a:rPr lang="en-AU" sz="800">
              <a:solidFill>
                <a:schemeClr val="bg1"/>
              </a:solidFill>
              <a:latin typeface="Times New Roman" panose="02020603050405020304" pitchFamily="18" charset="0"/>
              <a:cs typeface="Times New Roman" panose="02020603050405020304" pitchFamily="18" charset="0"/>
            </a:rPr>
            <a:t>Property Investment Accelerator</a:t>
          </a:r>
        </a:p>
      </xdr:txBody>
    </xdr:sp>
    <xdr:clientData/>
  </xdr:twoCellAnchor>
  <xdr:twoCellAnchor editAs="oneCell">
    <xdr:from>
      <xdr:col>0</xdr:col>
      <xdr:colOff>1524002</xdr:colOff>
      <xdr:row>0</xdr:row>
      <xdr:rowOff>45355</xdr:rowOff>
    </xdr:from>
    <xdr:to>
      <xdr:col>0</xdr:col>
      <xdr:colOff>2028827</xdr:colOff>
      <xdr:row>1</xdr:row>
      <xdr:rowOff>216079</xdr:rowOff>
    </xdr:to>
    <xdr:pic>
      <xdr:nvPicPr>
        <xdr:cNvPr id="3" name="Picture 2">
          <a:extLst>
            <a:ext uri="{FF2B5EF4-FFF2-40B4-BE49-F238E27FC236}">
              <a16:creationId xmlns:a16="http://schemas.microsoft.com/office/drawing/2014/main" id="{174E5D83-7613-44E3-8831-2E1B9A8602C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2" y="45355"/>
          <a:ext cx="504825" cy="39751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to.gov.au/Individuals/Income-and-deductions/Deductions-you-can-claim/Other-deductions/Project-pool-deductions/"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to.gov.au/Individuals/Income-and-deductions/Deductions-you-can-claim/Other-deductions/Project-pool-deduction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ato.gov.au/Individuals/Income-and-deductions/Offsets-you-can-claim/Medical-expenses/" TargetMode="External"/><Relationship Id="rId1" Type="http://schemas.openxmlformats.org/officeDocument/2006/relationships/hyperlink" Target="https://www.ato.gov.au/Media-centre/Articles/Net-medical-expenses-tax-offset-change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D377"/>
  <sheetViews>
    <sheetView showGridLines="0" tabSelected="1" zoomScale="70" zoomScaleNormal="70" workbookViewId="0">
      <pane ySplit="6" topLeftCell="A7" activePane="bottomLeft" state="frozen"/>
      <selection activeCell="A363" sqref="A363"/>
      <selection pane="bottomLeft" activeCell="A5" sqref="A5"/>
    </sheetView>
  </sheetViews>
  <sheetFormatPr defaultRowHeight="12.5" x14ac:dyDescent="0.25"/>
  <cols>
    <col min="1" max="1" width="51.1796875" customWidth="1"/>
    <col min="2" max="2" width="47.7265625" bestFit="1" customWidth="1"/>
    <col min="3" max="3" width="45.54296875" bestFit="1" customWidth="1"/>
    <col min="4" max="4" width="76.1796875" customWidth="1"/>
    <col min="5" max="13" width="9.1796875"/>
  </cols>
  <sheetData>
    <row r="1" spans="1:4" s="2" customFormat="1" ht="18" customHeight="1" x14ac:dyDescent="0.35">
      <c r="A1" s="6" t="s">
        <v>470</v>
      </c>
      <c r="B1" s="188" t="s">
        <v>452</v>
      </c>
      <c r="C1" s="175"/>
    </row>
    <row r="2" spans="1:4" s="2" customFormat="1" ht="18" customHeight="1" x14ac:dyDescent="0.35">
      <c r="A2" s="6"/>
      <c r="B2" s="175"/>
      <c r="C2" s="175"/>
    </row>
    <row r="3" spans="1:4" s="2" customFormat="1" ht="18" customHeight="1" x14ac:dyDescent="0.35">
      <c r="A3" s="6"/>
      <c r="B3" s="175"/>
      <c r="C3" s="175"/>
    </row>
    <row r="4" spans="1:4" s="2" customFormat="1" ht="18" customHeight="1" x14ac:dyDescent="0.35">
      <c r="A4" s="6"/>
      <c r="B4" s="175"/>
      <c r="C4" s="175"/>
    </row>
    <row r="5" spans="1:4" s="2" customFormat="1" ht="18" customHeight="1" x14ac:dyDescent="0.35">
      <c r="A5" s="6"/>
      <c r="B5" s="175"/>
      <c r="C5" s="258" t="s">
        <v>385</v>
      </c>
    </row>
    <row r="6" spans="1:4" s="2" customFormat="1" ht="18" customHeight="1" x14ac:dyDescent="0.35">
      <c r="A6" s="6"/>
      <c r="B6" s="60" t="s">
        <v>299</v>
      </c>
      <c r="C6" s="59" t="s">
        <v>300</v>
      </c>
      <c r="D6" s="58" t="s">
        <v>199</v>
      </c>
    </row>
    <row r="7" spans="1:4" s="2" customFormat="1" ht="18" customHeight="1" x14ac:dyDescent="0.35">
      <c r="A7" s="6"/>
      <c r="B7" s="61"/>
      <c r="C7" s="176" t="s">
        <v>200</v>
      </c>
      <c r="D7" s="6"/>
    </row>
    <row r="8" spans="1:4" s="2" customFormat="1" ht="18" customHeight="1" x14ac:dyDescent="0.35">
      <c r="A8" s="6"/>
      <c r="B8" s="61"/>
      <c r="C8" s="177" t="s">
        <v>208</v>
      </c>
      <c r="D8" s="6"/>
    </row>
    <row r="9" spans="1:4" s="2" customFormat="1" ht="18" customHeight="1" x14ac:dyDescent="0.35">
      <c r="A9" s="6"/>
      <c r="B9" s="61"/>
      <c r="C9" s="178"/>
      <c r="D9" s="6"/>
    </row>
    <row r="10" spans="1:4" s="2" customFormat="1" ht="18" customHeight="1" x14ac:dyDescent="0.35">
      <c r="A10" s="63" t="s">
        <v>386</v>
      </c>
      <c r="B10" s="176"/>
      <c r="C10" s="142"/>
      <c r="D10" s="56" t="s">
        <v>429</v>
      </c>
    </row>
    <row r="11" spans="1:4" s="2" customFormat="1" ht="18" customHeight="1" x14ac:dyDescent="0.35">
      <c r="A11" s="6"/>
      <c r="B11" s="176"/>
      <c r="C11" s="178"/>
      <c r="D11" s="14"/>
    </row>
    <row r="12" spans="1:4" s="2" customFormat="1" ht="18" customHeight="1" x14ac:dyDescent="0.35">
      <c r="A12" s="63" t="s">
        <v>178</v>
      </c>
      <c r="B12" s="141"/>
      <c r="C12" s="142"/>
      <c r="D12" s="14"/>
    </row>
    <row r="13" spans="1:4" s="2" customFormat="1" ht="18" customHeight="1" x14ac:dyDescent="0.35">
      <c r="A13" s="62" t="s">
        <v>23</v>
      </c>
      <c r="B13" s="141"/>
      <c r="C13" s="142"/>
      <c r="D13" s="14"/>
    </row>
    <row r="14" spans="1:4" s="2" customFormat="1" ht="18" customHeight="1" x14ac:dyDescent="0.35">
      <c r="A14" s="63" t="s">
        <v>179</v>
      </c>
      <c r="B14" s="141"/>
      <c r="C14" s="142"/>
      <c r="D14" s="14"/>
    </row>
    <row r="15" spans="1:4" s="2" customFormat="1" ht="18" customHeight="1" x14ac:dyDescent="0.35">
      <c r="A15" s="6"/>
      <c r="B15" s="133"/>
      <c r="C15" s="134"/>
      <c r="D15" s="14"/>
    </row>
    <row r="16" spans="1:4" s="2" customFormat="1" ht="18" customHeight="1" x14ac:dyDescent="0.35">
      <c r="A16" s="63" t="s">
        <v>377</v>
      </c>
      <c r="B16" s="142"/>
      <c r="C16" s="142"/>
      <c r="D16" s="56"/>
    </row>
    <row r="17" spans="1:4" s="2" customFormat="1" ht="18" customHeight="1" x14ac:dyDescent="0.35">
      <c r="A17" s="6"/>
      <c r="B17" s="133"/>
      <c r="C17" s="134"/>
      <c r="D17" s="56"/>
    </row>
    <row r="18" spans="1:4" s="2" customFormat="1" ht="18" customHeight="1" x14ac:dyDescent="0.35">
      <c r="A18" s="63" t="s">
        <v>197</v>
      </c>
      <c r="B18" s="179"/>
      <c r="C18" s="180"/>
      <c r="D18" s="56"/>
    </row>
    <row r="19" spans="1:4" s="2" customFormat="1" ht="18" customHeight="1" x14ac:dyDescent="0.35">
      <c r="A19" s="6"/>
      <c r="B19" s="133"/>
      <c r="C19" s="134"/>
      <c r="D19" s="56" t="s">
        <v>3</v>
      </c>
    </row>
    <row r="20" spans="1:4" s="2" customFormat="1" ht="18" customHeight="1" x14ac:dyDescent="0.35">
      <c r="A20" s="63" t="s">
        <v>198</v>
      </c>
      <c r="B20" s="143"/>
      <c r="C20" s="144"/>
      <c r="D20" s="56"/>
    </row>
    <row r="21" spans="1:4" s="2" customFormat="1" ht="18" customHeight="1" x14ac:dyDescent="0.35">
      <c r="A21" s="6"/>
      <c r="B21" s="133"/>
      <c r="C21" s="134"/>
      <c r="D21" s="56"/>
    </row>
    <row r="22" spans="1:4" s="2" customFormat="1" ht="18" customHeight="1" x14ac:dyDescent="0.35">
      <c r="A22" s="63" t="s">
        <v>180</v>
      </c>
      <c r="B22" s="141"/>
      <c r="C22" s="142"/>
      <c r="D22" s="56" t="s">
        <v>196</v>
      </c>
    </row>
    <row r="23" spans="1:4" s="2" customFormat="1" ht="18" customHeight="1" x14ac:dyDescent="0.35">
      <c r="A23" s="63" t="s">
        <v>181</v>
      </c>
      <c r="B23" s="141"/>
      <c r="C23" s="142"/>
      <c r="D23" s="107"/>
    </row>
    <row r="24" spans="1:4" s="2" customFormat="1" ht="18" customHeight="1" x14ac:dyDescent="0.35">
      <c r="A24" s="63" t="s">
        <v>182</v>
      </c>
      <c r="B24" s="141"/>
      <c r="C24" s="142"/>
      <c r="D24" s="107"/>
    </row>
    <row r="25" spans="1:4" s="2" customFormat="1" ht="18" customHeight="1" x14ac:dyDescent="0.35">
      <c r="A25" s="62" t="s">
        <v>183</v>
      </c>
      <c r="B25" s="141"/>
      <c r="C25" s="142"/>
      <c r="D25" s="56"/>
    </row>
    <row r="26" spans="1:4" s="2" customFormat="1" ht="18" customHeight="1" x14ac:dyDescent="0.35">
      <c r="A26" s="62" t="s">
        <v>184</v>
      </c>
      <c r="B26" s="141"/>
      <c r="C26" s="142"/>
      <c r="D26" s="56"/>
    </row>
    <row r="27" spans="1:4" s="2" customFormat="1" ht="18" customHeight="1" x14ac:dyDescent="0.35">
      <c r="A27" s="62" t="s">
        <v>185</v>
      </c>
      <c r="B27" s="141"/>
      <c r="C27" s="142"/>
      <c r="D27" s="56"/>
    </row>
    <row r="28" spans="1:4" s="2" customFormat="1" ht="18" customHeight="1" x14ac:dyDescent="0.35">
      <c r="A28" s="6"/>
      <c r="B28" s="133"/>
      <c r="C28" s="134"/>
      <c r="D28" s="56"/>
    </row>
    <row r="29" spans="1:4" s="2" customFormat="1" ht="18" customHeight="1" x14ac:dyDescent="0.35">
      <c r="A29" s="62" t="s">
        <v>186</v>
      </c>
      <c r="B29" s="145"/>
      <c r="C29" s="146"/>
      <c r="D29" s="56"/>
    </row>
    <row r="30" spans="1:4" s="2" customFormat="1" ht="18" customHeight="1" x14ac:dyDescent="0.35">
      <c r="A30" s="11"/>
      <c r="B30" s="133" t="s">
        <v>3</v>
      </c>
      <c r="C30" s="134"/>
      <c r="D30" s="56"/>
    </row>
    <row r="31" spans="1:4" s="2" customFormat="1" ht="18" customHeight="1" x14ac:dyDescent="0.35">
      <c r="A31" s="62" t="s">
        <v>187</v>
      </c>
      <c r="B31" s="147"/>
      <c r="C31" s="148"/>
      <c r="D31" s="56"/>
    </row>
    <row r="32" spans="1:4" s="2" customFormat="1" ht="18" customHeight="1" x14ac:dyDescent="0.35">
      <c r="A32" s="6"/>
      <c r="B32" s="133"/>
      <c r="C32" s="134"/>
      <c r="D32" s="56"/>
    </row>
    <row r="33" spans="1:4" s="2" customFormat="1" ht="18" customHeight="1" x14ac:dyDescent="0.35">
      <c r="A33" s="63" t="s">
        <v>188</v>
      </c>
      <c r="B33" s="148" t="s">
        <v>441</v>
      </c>
      <c r="C33" s="148" t="s">
        <v>441</v>
      </c>
      <c r="D33" s="84"/>
    </row>
    <row r="34" spans="1:4" s="2" customFormat="1" ht="18" customHeight="1" x14ac:dyDescent="0.35">
      <c r="A34" s="62" t="s">
        <v>203</v>
      </c>
      <c r="B34" s="133"/>
      <c r="C34" s="134"/>
      <c r="D34" s="56" t="s">
        <v>513</v>
      </c>
    </row>
    <row r="35" spans="1:4" s="2" customFormat="1" ht="18" customHeight="1" x14ac:dyDescent="0.35">
      <c r="A35" s="62" t="s">
        <v>193</v>
      </c>
      <c r="B35" s="147"/>
      <c r="C35" s="148"/>
      <c r="D35" s="56" t="s">
        <v>201</v>
      </c>
    </row>
    <row r="36" spans="1:4" s="2" customFormat="1" ht="18" customHeight="1" x14ac:dyDescent="0.35">
      <c r="A36" s="62" t="s">
        <v>194</v>
      </c>
      <c r="B36" s="141"/>
      <c r="C36" s="142"/>
      <c r="D36" s="107" t="s">
        <v>202</v>
      </c>
    </row>
    <row r="37" spans="1:4" s="2" customFormat="1" ht="18" customHeight="1" x14ac:dyDescent="0.35">
      <c r="A37" s="11"/>
      <c r="B37" s="133"/>
      <c r="C37" s="134"/>
      <c r="D37" s="56"/>
    </row>
    <row r="38" spans="1:4" s="2" customFormat="1" ht="18" customHeight="1" x14ac:dyDescent="0.35">
      <c r="A38" s="62" t="s">
        <v>195</v>
      </c>
      <c r="B38" s="149"/>
      <c r="C38" s="150"/>
      <c r="D38" s="56" t="s">
        <v>204</v>
      </c>
    </row>
    <row r="39" spans="1:4" s="2" customFormat="1" ht="18" customHeight="1" x14ac:dyDescent="0.35">
      <c r="A39" s="11"/>
      <c r="B39" s="133"/>
      <c r="C39" s="134"/>
      <c r="D39" s="56"/>
    </row>
    <row r="40" spans="1:4" s="2" customFormat="1" ht="18" customHeight="1" x14ac:dyDescent="0.35">
      <c r="A40" s="63" t="s">
        <v>205</v>
      </c>
      <c r="B40" s="133"/>
      <c r="C40" s="134"/>
      <c r="D40" s="56"/>
    </row>
    <row r="41" spans="1:4" s="2" customFormat="1" ht="18" customHeight="1" x14ac:dyDescent="0.35">
      <c r="A41" s="63" t="s">
        <v>206</v>
      </c>
      <c r="B41" s="141" t="s">
        <v>189</v>
      </c>
      <c r="C41" s="142" t="s">
        <v>24</v>
      </c>
      <c r="D41" s="56" t="s">
        <v>384</v>
      </c>
    </row>
    <row r="42" spans="1:4" s="2" customFormat="1" ht="18" customHeight="1" x14ac:dyDescent="0.35">
      <c r="A42" s="6"/>
      <c r="B42" s="133"/>
      <c r="C42" s="134"/>
      <c r="D42" s="56"/>
    </row>
    <row r="43" spans="1:4" s="2" customFormat="1" ht="18" customHeight="1" x14ac:dyDescent="0.35">
      <c r="A43" s="63" t="s">
        <v>190</v>
      </c>
      <c r="B43" s="133"/>
      <c r="C43" s="134"/>
      <c r="D43" s="18"/>
    </row>
    <row r="44" spans="1:4" s="2" customFormat="1" ht="18" customHeight="1" x14ac:dyDescent="0.35">
      <c r="A44" s="63" t="s">
        <v>191</v>
      </c>
      <c r="B44" s="172"/>
      <c r="C44" s="172"/>
      <c r="D44" s="107"/>
    </row>
    <row r="45" spans="1:4" s="2" customFormat="1" ht="18" customHeight="1" x14ac:dyDescent="0.35">
      <c r="A45" s="63" t="s">
        <v>192</v>
      </c>
      <c r="B45" s="151"/>
      <c r="C45" s="152"/>
      <c r="D45" s="56"/>
    </row>
    <row r="46" spans="1:4" s="2" customFormat="1" ht="18" customHeight="1" x14ac:dyDescent="0.35">
      <c r="A46" s="63" t="s">
        <v>207</v>
      </c>
      <c r="B46" s="143"/>
      <c r="C46" s="144"/>
      <c r="D46" s="18"/>
    </row>
    <row r="47" spans="1:4" s="2" customFormat="1" ht="18" customHeight="1" x14ac:dyDescent="0.35">
      <c r="A47" s="6"/>
      <c r="B47" s="133"/>
      <c r="C47" s="134"/>
      <c r="D47" s="18"/>
    </row>
    <row r="48" spans="1:4" s="2" customFormat="1" ht="18" customHeight="1" x14ac:dyDescent="0.35">
      <c r="A48" s="63" t="s">
        <v>442</v>
      </c>
      <c r="B48" s="133"/>
      <c r="C48" s="134"/>
      <c r="D48" s="18" t="s">
        <v>428</v>
      </c>
    </row>
    <row r="49" spans="1:4" s="2" customFormat="1" ht="18" customHeight="1" x14ac:dyDescent="0.35">
      <c r="A49" s="63" t="s">
        <v>298</v>
      </c>
      <c r="B49" s="133"/>
      <c r="C49" s="134"/>
      <c r="D49" s="18" t="s">
        <v>430</v>
      </c>
    </row>
    <row r="50" spans="1:4" s="2" customFormat="1" ht="18" customHeight="1" x14ac:dyDescent="0.35">
      <c r="A50" s="63" t="s">
        <v>209</v>
      </c>
      <c r="B50" s="133"/>
      <c r="C50" s="181" t="s">
        <v>24</v>
      </c>
      <c r="D50" s="18"/>
    </row>
    <row r="51" spans="1:4" s="2" customFormat="1" ht="18" customHeight="1" x14ac:dyDescent="0.35">
      <c r="A51" s="63" t="s">
        <v>406</v>
      </c>
      <c r="B51" s="133"/>
      <c r="C51" s="181" t="s">
        <v>24</v>
      </c>
      <c r="D51" s="18"/>
    </row>
    <row r="52" spans="1:4" s="2" customFormat="1" ht="18" customHeight="1" x14ac:dyDescent="0.35">
      <c r="A52" s="63" t="s">
        <v>210</v>
      </c>
      <c r="B52" s="133"/>
      <c r="C52" s="181" t="s">
        <v>24</v>
      </c>
      <c r="D52" s="18"/>
    </row>
    <row r="53" spans="1:4" s="2" customFormat="1" ht="18" customHeight="1" x14ac:dyDescent="0.35">
      <c r="A53" s="63" t="s">
        <v>212</v>
      </c>
      <c r="B53" s="133"/>
      <c r="C53" s="181" t="s">
        <v>24</v>
      </c>
      <c r="D53" s="18"/>
    </row>
    <row r="54" spans="1:4" s="2" customFormat="1" ht="18" customHeight="1" x14ac:dyDescent="0.35">
      <c r="A54" s="82" t="s">
        <v>211</v>
      </c>
      <c r="B54" s="133"/>
      <c r="C54" s="181" t="s">
        <v>24</v>
      </c>
      <c r="D54" s="18"/>
    </row>
    <row r="55" spans="1:4" s="2" customFormat="1" ht="18" customHeight="1" x14ac:dyDescent="0.35">
      <c r="A55"/>
      <c r="B55"/>
      <c r="C55"/>
      <c r="D55"/>
    </row>
    <row r="56" spans="1:4" s="2" customFormat="1" ht="18" customHeight="1" x14ac:dyDescent="0.35">
      <c r="A56" s="261" t="s">
        <v>533</v>
      </c>
      <c r="B56" s="261"/>
      <c r="C56" s="261"/>
      <c r="D56"/>
    </row>
    <row r="57" spans="1:4" s="2" customFormat="1" ht="18" customHeight="1" x14ac:dyDescent="0.35">
      <c r="A57" s="261"/>
      <c r="B57" s="261"/>
      <c r="C57" s="261"/>
      <c r="D57"/>
    </row>
    <row r="58" spans="1:4" s="2" customFormat="1" ht="18" customHeight="1" x14ac:dyDescent="0.35">
      <c r="A58" s="261"/>
      <c r="B58" s="261"/>
      <c r="C58" s="261"/>
      <c r="D58"/>
    </row>
    <row r="59" spans="1:4" s="2" customFormat="1" ht="18" customHeight="1" x14ac:dyDescent="0.35">
      <c r="A59"/>
      <c r="B59"/>
      <c r="C59"/>
      <c r="D59"/>
    </row>
    <row r="60" spans="1:4" s="2" customFormat="1" ht="18" customHeight="1" x14ac:dyDescent="0.35">
      <c r="A60"/>
      <c r="B60"/>
      <c r="C60"/>
      <c r="D60"/>
    </row>
    <row r="61" spans="1:4" s="2" customFormat="1" ht="18" customHeight="1" x14ac:dyDescent="0.35">
      <c r="A61"/>
      <c r="B61"/>
      <c r="C61"/>
      <c r="D61"/>
    </row>
    <row r="62" spans="1:4" s="2" customFormat="1" ht="18" customHeight="1" x14ac:dyDescent="0.35">
      <c r="A62"/>
      <c r="B62"/>
      <c r="C62"/>
      <c r="D62"/>
    </row>
    <row r="63" spans="1:4" s="2" customFormat="1" ht="18" customHeight="1" x14ac:dyDescent="0.35">
      <c r="A63"/>
      <c r="B63"/>
      <c r="C63"/>
      <c r="D63"/>
    </row>
    <row r="64" spans="1:4" s="2" customFormat="1" ht="18" customHeight="1" x14ac:dyDescent="0.35">
      <c r="A64"/>
      <c r="B64"/>
      <c r="C64"/>
      <c r="D64"/>
    </row>
    <row r="65" spans="1:4" s="2" customFormat="1" ht="18" customHeight="1" x14ac:dyDescent="0.35">
      <c r="A65"/>
      <c r="B65"/>
      <c r="C65"/>
      <c r="D65"/>
    </row>
    <row r="66" spans="1:4" s="2" customFormat="1" ht="18" customHeight="1" x14ac:dyDescent="0.35">
      <c r="A66"/>
      <c r="B66"/>
      <c r="C66"/>
      <c r="D66"/>
    </row>
    <row r="67" spans="1:4" ht="18" customHeight="1" x14ac:dyDescent="0.25"/>
    <row r="68" spans="1:4" ht="18" customHeight="1" x14ac:dyDescent="0.25"/>
    <row r="69" spans="1:4" ht="18" customHeight="1" x14ac:dyDescent="0.25"/>
    <row r="70" spans="1:4" ht="18" customHeight="1" x14ac:dyDescent="0.25"/>
    <row r="71" spans="1:4" ht="18" customHeight="1" x14ac:dyDescent="0.25"/>
    <row r="72" spans="1:4" ht="18" customHeight="1" x14ac:dyDescent="0.25"/>
    <row r="73" spans="1:4" ht="18" customHeight="1" x14ac:dyDescent="0.25"/>
    <row r="74" spans="1:4" ht="18" customHeight="1" x14ac:dyDescent="0.25"/>
    <row r="75" spans="1:4" ht="18" customHeight="1" x14ac:dyDescent="0.25"/>
    <row r="76" spans="1:4" ht="18" customHeight="1" x14ac:dyDescent="0.25"/>
    <row r="77" spans="1:4" ht="18" customHeight="1" x14ac:dyDescent="0.25"/>
    <row r="78" spans="1:4" ht="18" customHeight="1" x14ac:dyDescent="0.25"/>
    <row r="79" spans="1:4" ht="18" customHeight="1" x14ac:dyDescent="0.25"/>
    <row r="80" spans="1:4"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row r="101" ht="18" customHeight="1" x14ac:dyDescent="0.25"/>
    <row r="102" ht="18" customHeight="1" x14ac:dyDescent="0.25"/>
    <row r="103" ht="18" customHeight="1" x14ac:dyDescent="0.25"/>
    <row r="104" ht="18" customHeight="1" x14ac:dyDescent="0.25"/>
    <row r="105" ht="18" customHeight="1" x14ac:dyDescent="0.25"/>
    <row r="106" ht="18" customHeight="1" x14ac:dyDescent="0.25"/>
    <row r="107" ht="18" customHeight="1" x14ac:dyDescent="0.25"/>
    <row r="108" ht="18" customHeight="1" x14ac:dyDescent="0.25"/>
    <row r="109" ht="18" customHeight="1" x14ac:dyDescent="0.25"/>
    <row r="110" ht="18" customHeight="1" x14ac:dyDescent="0.25"/>
    <row r="111" ht="18" customHeight="1" x14ac:dyDescent="0.25"/>
    <row r="112" ht="18" customHeight="1" x14ac:dyDescent="0.25"/>
    <row r="113" ht="18" customHeight="1" x14ac:dyDescent="0.25"/>
    <row r="114" ht="18" customHeight="1" x14ac:dyDescent="0.25"/>
    <row r="115" ht="18" customHeight="1" x14ac:dyDescent="0.25"/>
    <row r="116" ht="18" customHeight="1" x14ac:dyDescent="0.25"/>
    <row r="117" ht="18" customHeight="1" x14ac:dyDescent="0.25"/>
    <row r="118" ht="18" customHeight="1" x14ac:dyDescent="0.25"/>
    <row r="119" ht="18" customHeight="1" x14ac:dyDescent="0.25"/>
    <row r="120" ht="18" customHeight="1" x14ac:dyDescent="0.25"/>
    <row r="121" ht="18" customHeight="1" x14ac:dyDescent="0.25"/>
    <row r="122" ht="18" customHeight="1" x14ac:dyDescent="0.25"/>
    <row r="123" ht="18" customHeight="1" x14ac:dyDescent="0.25"/>
    <row r="124" ht="18" customHeight="1" x14ac:dyDescent="0.25"/>
    <row r="125" ht="18" customHeight="1" x14ac:dyDescent="0.25"/>
    <row r="126" ht="18" customHeight="1" x14ac:dyDescent="0.25"/>
    <row r="127" ht="18" customHeight="1" x14ac:dyDescent="0.25"/>
    <row r="128" ht="18" customHeight="1" x14ac:dyDescent="0.25"/>
    <row r="129" ht="18" customHeight="1" x14ac:dyDescent="0.25"/>
    <row r="130" ht="18" customHeight="1" x14ac:dyDescent="0.25"/>
    <row r="131" ht="18" customHeight="1" x14ac:dyDescent="0.25"/>
    <row r="132" ht="18" customHeight="1" x14ac:dyDescent="0.25"/>
    <row r="133" ht="18" customHeight="1" x14ac:dyDescent="0.25"/>
    <row r="134" ht="18" customHeight="1" x14ac:dyDescent="0.25"/>
    <row r="135" ht="18" customHeight="1" x14ac:dyDescent="0.25"/>
    <row r="136" ht="18" customHeight="1" x14ac:dyDescent="0.25"/>
    <row r="137" ht="18" customHeight="1" x14ac:dyDescent="0.25"/>
    <row r="138" ht="18" customHeight="1" x14ac:dyDescent="0.25"/>
    <row r="139" ht="18" customHeight="1" x14ac:dyDescent="0.25"/>
    <row r="140" ht="18" customHeight="1" x14ac:dyDescent="0.25"/>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row r="172" ht="18" customHeight="1" x14ac:dyDescent="0.25"/>
    <row r="173" ht="18" customHeight="1" x14ac:dyDescent="0.25"/>
    <row r="174" ht="18" customHeight="1" x14ac:dyDescent="0.25"/>
    <row r="175" ht="18" customHeight="1" x14ac:dyDescent="0.25"/>
    <row r="176" ht="18" customHeight="1" x14ac:dyDescent="0.25"/>
    <row r="177" ht="18" customHeight="1" x14ac:dyDescent="0.25"/>
    <row r="178" ht="18" customHeight="1" x14ac:dyDescent="0.25"/>
    <row r="179" ht="18" customHeight="1" x14ac:dyDescent="0.25"/>
    <row r="180" ht="18" customHeight="1" x14ac:dyDescent="0.25"/>
    <row r="181" ht="18" customHeight="1" x14ac:dyDescent="0.25"/>
    <row r="182" ht="18" customHeight="1" x14ac:dyDescent="0.25"/>
    <row r="183" ht="18" customHeight="1" x14ac:dyDescent="0.25"/>
    <row r="184" ht="18" customHeight="1" x14ac:dyDescent="0.25"/>
    <row r="185" ht="18" customHeight="1" x14ac:dyDescent="0.25"/>
    <row r="186" ht="18" customHeight="1" x14ac:dyDescent="0.25"/>
    <row r="187" ht="18" customHeight="1" x14ac:dyDescent="0.25"/>
    <row r="188" ht="18" customHeight="1" x14ac:dyDescent="0.25"/>
    <row r="189" ht="18" customHeight="1" x14ac:dyDescent="0.25"/>
    <row r="190" ht="18" customHeight="1" x14ac:dyDescent="0.25"/>
    <row r="191" ht="18" customHeight="1" x14ac:dyDescent="0.25"/>
    <row r="192" ht="18" customHeight="1" x14ac:dyDescent="0.25"/>
    <row r="193" ht="18" customHeight="1" x14ac:dyDescent="0.25"/>
    <row r="194" ht="18" customHeight="1" x14ac:dyDescent="0.25"/>
    <row r="195" ht="18" customHeight="1" x14ac:dyDescent="0.25"/>
    <row r="196" ht="18" customHeight="1" x14ac:dyDescent="0.25"/>
    <row r="197" ht="18" customHeight="1" x14ac:dyDescent="0.25"/>
    <row r="198" ht="18" customHeight="1" x14ac:dyDescent="0.25"/>
    <row r="199" ht="18" customHeight="1" x14ac:dyDescent="0.25"/>
    <row r="200" ht="18" customHeight="1" x14ac:dyDescent="0.25"/>
    <row r="201" ht="18" customHeight="1" x14ac:dyDescent="0.25"/>
    <row r="202" ht="18" customHeight="1" x14ac:dyDescent="0.25"/>
    <row r="203" ht="18" customHeight="1" x14ac:dyDescent="0.25"/>
    <row r="204" ht="18" customHeight="1" x14ac:dyDescent="0.25"/>
    <row r="205" ht="18" customHeight="1" x14ac:dyDescent="0.25"/>
    <row r="206" ht="18" customHeight="1" x14ac:dyDescent="0.25"/>
    <row r="207" ht="18" customHeight="1" x14ac:dyDescent="0.25"/>
    <row r="208" ht="18" customHeight="1" x14ac:dyDescent="0.25"/>
    <row r="209" ht="18" customHeight="1" x14ac:dyDescent="0.25"/>
    <row r="210" ht="18" customHeight="1" x14ac:dyDescent="0.25"/>
    <row r="211" ht="18" customHeight="1" x14ac:dyDescent="0.25"/>
    <row r="212" ht="18" customHeight="1" x14ac:dyDescent="0.25"/>
    <row r="213" ht="18" customHeight="1" x14ac:dyDescent="0.25"/>
    <row r="214" ht="18" customHeight="1" x14ac:dyDescent="0.25"/>
    <row r="215" ht="18" customHeight="1" x14ac:dyDescent="0.25"/>
    <row r="216" ht="18" customHeight="1" x14ac:dyDescent="0.25"/>
    <row r="217" ht="18" customHeight="1" x14ac:dyDescent="0.25"/>
    <row r="218" ht="18" customHeight="1" x14ac:dyDescent="0.25"/>
    <row r="219" ht="18" customHeight="1" x14ac:dyDescent="0.25"/>
    <row r="220" ht="18" customHeight="1" x14ac:dyDescent="0.25"/>
    <row r="221" ht="18" customHeight="1" x14ac:dyDescent="0.25"/>
    <row r="222" ht="18" customHeight="1" x14ac:dyDescent="0.25"/>
    <row r="223" ht="18" customHeight="1" x14ac:dyDescent="0.25"/>
    <row r="224" ht="18" customHeight="1" x14ac:dyDescent="0.25"/>
    <row r="225" ht="18" customHeight="1" x14ac:dyDescent="0.25"/>
    <row r="226" ht="18" customHeight="1" x14ac:dyDescent="0.25"/>
    <row r="227" ht="18" customHeight="1" x14ac:dyDescent="0.25"/>
    <row r="228" ht="18" customHeight="1" x14ac:dyDescent="0.25"/>
    <row r="229" ht="18" customHeight="1" x14ac:dyDescent="0.25"/>
    <row r="230" ht="18" customHeight="1" x14ac:dyDescent="0.25"/>
    <row r="231" ht="18" customHeight="1" x14ac:dyDescent="0.25"/>
    <row r="232" ht="18" customHeight="1" x14ac:dyDescent="0.25"/>
    <row r="233" ht="18" customHeight="1" x14ac:dyDescent="0.25"/>
    <row r="234" ht="18" customHeight="1" x14ac:dyDescent="0.25"/>
    <row r="235" ht="18" customHeight="1" x14ac:dyDescent="0.25"/>
    <row r="236" ht="18" customHeight="1" x14ac:dyDescent="0.25"/>
    <row r="237" ht="18" customHeight="1" x14ac:dyDescent="0.25"/>
    <row r="238" ht="18" customHeight="1" x14ac:dyDescent="0.25"/>
    <row r="239" ht="18" customHeight="1" x14ac:dyDescent="0.25"/>
    <row r="240" ht="18" customHeight="1" x14ac:dyDescent="0.25"/>
    <row r="241" ht="18" customHeight="1" x14ac:dyDescent="0.25"/>
    <row r="242" ht="18" customHeight="1" x14ac:dyDescent="0.25"/>
    <row r="243" ht="18" customHeight="1" x14ac:dyDescent="0.25"/>
    <row r="244" ht="18" customHeight="1" x14ac:dyDescent="0.25"/>
    <row r="245" ht="18" customHeight="1" x14ac:dyDescent="0.25"/>
    <row r="246" ht="18" customHeight="1" x14ac:dyDescent="0.25"/>
    <row r="247" ht="18" customHeight="1" x14ac:dyDescent="0.25"/>
    <row r="248" ht="18" customHeight="1" x14ac:dyDescent="0.25"/>
    <row r="249" ht="18" customHeight="1" x14ac:dyDescent="0.25"/>
    <row r="250" ht="18" customHeight="1" x14ac:dyDescent="0.25"/>
    <row r="251" ht="18" customHeight="1" x14ac:dyDescent="0.25"/>
    <row r="252" ht="18" customHeight="1" x14ac:dyDescent="0.25"/>
    <row r="253" ht="18" customHeight="1" x14ac:dyDescent="0.25"/>
    <row r="254" ht="18" customHeight="1" x14ac:dyDescent="0.25"/>
    <row r="255" ht="18" customHeight="1" x14ac:dyDescent="0.25"/>
    <row r="256" ht="18" customHeight="1" x14ac:dyDescent="0.25"/>
    <row r="257" ht="18" customHeight="1" x14ac:dyDescent="0.25"/>
    <row r="258" ht="18" customHeight="1" x14ac:dyDescent="0.25"/>
    <row r="259" ht="18" customHeight="1" x14ac:dyDescent="0.25"/>
    <row r="260" ht="18" customHeight="1" x14ac:dyDescent="0.25"/>
    <row r="261" ht="18" customHeight="1" x14ac:dyDescent="0.25"/>
    <row r="262" ht="18" customHeight="1" x14ac:dyDescent="0.25"/>
    <row r="263" ht="18" customHeight="1" x14ac:dyDescent="0.25"/>
    <row r="264" ht="18" customHeight="1" x14ac:dyDescent="0.25"/>
    <row r="265" ht="18" customHeight="1" x14ac:dyDescent="0.25"/>
    <row r="266" ht="18" customHeight="1" x14ac:dyDescent="0.25"/>
    <row r="267" ht="18" customHeight="1" x14ac:dyDescent="0.25"/>
    <row r="268" ht="18" customHeight="1" x14ac:dyDescent="0.25"/>
    <row r="269" ht="18" customHeight="1" x14ac:dyDescent="0.25"/>
    <row r="270" ht="18" customHeight="1" x14ac:dyDescent="0.25"/>
    <row r="271" ht="18" customHeight="1" x14ac:dyDescent="0.25"/>
    <row r="272" ht="18" customHeight="1" x14ac:dyDescent="0.25"/>
    <row r="273" ht="18" customHeight="1" x14ac:dyDescent="0.25"/>
    <row r="274" ht="18" customHeight="1" x14ac:dyDescent="0.25"/>
    <row r="275" ht="18" customHeight="1" x14ac:dyDescent="0.25"/>
    <row r="276" ht="18" customHeight="1" x14ac:dyDescent="0.25"/>
    <row r="277" ht="18" customHeight="1" x14ac:dyDescent="0.25"/>
    <row r="278" ht="18" customHeight="1" x14ac:dyDescent="0.25"/>
    <row r="279" ht="18" customHeight="1" x14ac:dyDescent="0.25"/>
    <row r="280" ht="18" customHeight="1" x14ac:dyDescent="0.25"/>
    <row r="281" ht="18" customHeight="1" x14ac:dyDescent="0.25"/>
    <row r="282" ht="18" customHeight="1" x14ac:dyDescent="0.25"/>
    <row r="283" ht="18" customHeight="1" x14ac:dyDescent="0.25"/>
    <row r="284" ht="18" customHeight="1" x14ac:dyDescent="0.25"/>
    <row r="285" ht="18" customHeight="1" x14ac:dyDescent="0.25"/>
    <row r="286" ht="18" customHeight="1" x14ac:dyDescent="0.25"/>
    <row r="287" ht="18" customHeight="1" x14ac:dyDescent="0.25"/>
    <row r="288" ht="18" customHeight="1" x14ac:dyDescent="0.25"/>
    <row r="289" ht="18" customHeight="1" x14ac:dyDescent="0.25"/>
    <row r="290" ht="18" customHeight="1" x14ac:dyDescent="0.25"/>
    <row r="291" ht="18" customHeight="1" x14ac:dyDescent="0.25"/>
    <row r="292" ht="18" customHeight="1" x14ac:dyDescent="0.25"/>
    <row r="293" ht="18" customHeight="1" x14ac:dyDescent="0.25"/>
    <row r="294" ht="18" customHeight="1" x14ac:dyDescent="0.25"/>
    <row r="295" ht="18" customHeight="1" x14ac:dyDescent="0.25"/>
    <row r="296" ht="18" customHeight="1" x14ac:dyDescent="0.25"/>
    <row r="297" ht="18" customHeight="1" x14ac:dyDescent="0.25"/>
    <row r="298" ht="18" customHeight="1" x14ac:dyDescent="0.25"/>
    <row r="299" ht="18" customHeight="1" x14ac:dyDescent="0.25"/>
    <row r="300" ht="18" customHeight="1" x14ac:dyDescent="0.25"/>
    <row r="301" ht="18" customHeight="1" x14ac:dyDescent="0.25"/>
    <row r="302" ht="18" customHeight="1" x14ac:dyDescent="0.25"/>
    <row r="303" ht="18" customHeight="1" x14ac:dyDescent="0.25"/>
    <row r="304" ht="18" customHeight="1" x14ac:dyDescent="0.25"/>
    <row r="305" ht="18" customHeight="1" x14ac:dyDescent="0.25"/>
    <row r="306" ht="18" customHeight="1" x14ac:dyDescent="0.25"/>
    <row r="307" ht="18" customHeight="1" x14ac:dyDescent="0.25"/>
    <row r="308" ht="18" customHeight="1" x14ac:dyDescent="0.25"/>
    <row r="309" ht="18" customHeight="1" x14ac:dyDescent="0.25"/>
    <row r="310" ht="18" customHeight="1" x14ac:dyDescent="0.25"/>
    <row r="311" ht="18" customHeight="1" x14ac:dyDescent="0.25"/>
    <row r="312" ht="18" customHeight="1" x14ac:dyDescent="0.25"/>
    <row r="313" ht="18" customHeight="1" x14ac:dyDescent="0.25"/>
    <row r="314" ht="18" customHeight="1" x14ac:dyDescent="0.25"/>
    <row r="315" ht="18" customHeight="1" x14ac:dyDescent="0.25"/>
    <row r="316" ht="18" customHeight="1" x14ac:dyDescent="0.25"/>
    <row r="317" ht="18" customHeight="1" x14ac:dyDescent="0.25"/>
    <row r="318" ht="18" customHeight="1" x14ac:dyDescent="0.25"/>
    <row r="319" ht="18" customHeight="1" x14ac:dyDescent="0.25"/>
    <row r="320" ht="18" customHeight="1" x14ac:dyDescent="0.25"/>
    <row r="321" ht="18" customHeight="1" x14ac:dyDescent="0.25"/>
    <row r="322" ht="18" customHeight="1" x14ac:dyDescent="0.25"/>
    <row r="323" ht="18" customHeight="1" x14ac:dyDescent="0.25"/>
    <row r="324" ht="18" customHeight="1" x14ac:dyDescent="0.25"/>
    <row r="325" ht="18" customHeight="1" x14ac:dyDescent="0.25"/>
    <row r="326" ht="18" customHeight="1" x14ac:dyDescent="0.25"/>
    <row r="327" ht="18" customHeight="1" x14ac:dyDescent="0.25"/>
    <row r="328" ht="18" customHeight="1" x14ac:dyDescent="0.25"/>
    <row r="329" ht="18" customHeight="1" x14ac:dyDescent="0.25"/>
    <row r="330" ht="18" customHeight="1" x14ac:dyDescent="0.25"/>
    <row r="331" ht="18" customHeight="1" x14ac:dyDescent="0.25"/>
    <row r="332" ht="18" customHeight="1" x14ac:dyDescent="0.25"/>
    <row r="333" ht="18" customHeight="1" x14ac:dyDescent="0.25"/>
    <row r="334" ht="18" customHeight="1" x14ac:dyDescent="0.25"/>
    <row r="335" ht="18" customHeight="1" x14ac:dyDescent="0.25"/>
    <row r="336" ht="18" customHeight="1" x14ac:dyDescent="0.25"/>
    <row r="337" ht="18" customHeight="1" x14ac:dyDescent="0.25"/>
    <row r="338" ht="18" customHeight="1" x14ac:dyDescent="0.25"/>
    <row r="339" ht="18" customHeight="1" x14ac:dyDescent="0.25"/>
    <row r="340" ht="18" customHeight="1" x14ac:dyDescent="0.25"/>
    <row r="341" ht="18" customHeight="1" x14ac:dyDescent="0.25"/>
    <row r="342" ht="18" customHeight="1" x14ac:dyDescent="0.25"/>
    <row r="343" ht="18" customHeight="1" x14ac:dyDescent="0.25"/>
    <row r="344" ht="18" customHeight="1" x14ac:dyDescent="0.25"/>
    <row r="345" ht="18" customHeight="1" x14ac:dyDescent="0.25"/>
    <row r="346" ht="18" customHeight="1" x14ac:dyDescent="0.25"/>
    <row r="347" ht="18" customHeight="1" x14ac:dyDescent="0.25"/>
    <row r="348" ht="18" customHeight="1" x14ac:dyDescent="0.25"/>
    <row r="349" ht="18" customHeight="1" x14ac:dyDescent="0.25"/>
    <row r="350" ht="18" customHeight="1" x14ac:dyDescent="0.25"/>
    <row r="351" ht="18" customHeight="1" x14ac:dyDescent="0.25"/>
    <row r="352" ht="18" customHeight="1" x14ac:dyDescent="0.25"/>
    <row r="353" ht="18" customHeight="1" x14ac:dyDescent="0.25"/>
    <row r="354" ht="18" customHeight="1" x14ac:dyDescent="0.25"/>
    <row r="355" ht="18" customHeight="1" x14ac:dyDescent="0.25"/>
    <row r="356" ht="18" customHeight="1" x14ac:dyDescent="0.25"/>
    <row r="357" ht="18" customHeight="1" x14ac:dyDescent="0.25"/>
    <row r="358" ht="18" customHeight="1" x14ac:dyDescent="0.25"/>
    <row r="359" ht="18" customHeight="1" x14ac:dyDescent="0.25"/>
    <row r="360" ht="18" customHeight="1" x14ac:dyDescent="0.25"/>
    <row r="361" ht="18" customHeight="1" x14ac:dyDescent="0.25"/>
    <row r="362" ht="18" customHeight="1" x14ac:dyDescent="0.25"/>
    <row r="363" ht="18" customHeight="1" x14ac:dyDescent="0.25"/>
    <row r="364" ht="18" customHeight="1" x14ac:dyDescent="0.25"/>
    <row r="365" ht="18" customHeight="1" x14ac:dyDescent="0.25"/>
    <row r="366" ht="18" customHeight="1" x14ac:dyDescent="0.25"/>
    <row r="367" ht="18" customHeight="1" x14ac:dyDescent="0.25"/>
    <row r="368" ht="18" customHeight="1" x14ac:dyDescent="0.25"/>
    <row r="369" ht="18" customHeight="1" x14ac:dyDescent="0.25"/>
    <row r="370" ht="18" customHeight="1" x14ac:dyDescent="0.25"/>
    <row r="371" ht="18" customHeight="1" x14ac:dyDescent="0.25"/>
    <row r="372" ht="18" customHeight="1" x14ac:dyDescent="0.25"/>
    <row r="373" ht="18" customHeight="1" x14ac:dyDescent="0.25"/>
    <row r="374" ht="18" customHeight="1" x14ac:dyDescent="0.25"/>
    <row r="375" ht="18" customHeight="1" x14ac:dyDescent="0.25"/>
    <row r="376" ht="18" customHeight="1" x14ac:dyDescent="0.25"/>
    <row r="377" ht="18" customHeight="1" x14ac:dyDescent="0.25"/>
  </sheetData>
  <mergeCells count="1">
    <mergeCell ref="A56:C5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O377"/>
  <sheetViews>
    <sheetView showGridLines="0" zoomScale="70" zoomScaleNormal="70" workbookViewId="0">
      <pane ySplit="4" topLeftCell="A60" activePane="bottomLeft" state="frozen"/>
      <selection activeCell="A363" sqref="A363"/>
      <selection pane="bottomLeft" activeCell="A4" sqref="A4"/>
    </sheetView>
  </sheetViews>
  <sheetFormatPr defaultColWidth="8.81640625" defaultRowHeight="15.5" x14ac:dyDescent="0.35"/>
  <cols>
    <col min="1" max="1" width="34.453125" style="2" customWidth="1"/>
    <col min="2" max="2" width="2.81640625" style="2" customWidth="1"/>
    <col min="3" max="3" width="17.81640625" style="8" customWidth="1"/>
    <col min="4" max="5" width="13.26953125" style="8" customWidth="1"/>
    <col min="6" max="6" width="3.453125" style="2" customWidth="1"/>
    <col min="7" max="7" width="16.7265625" style="2" customWidth="1"/>
    <col min="8" max="8" width="15" style="2" customWidth="1"/>
    <col min="9" max="9" width="17.453125" style="14" customWidth="1"/>
    <col min="10" max="10" width="18.453125" style="2" customWidth="1"/>
    <col min="11" max="11" width="8.81640625" style="2"/>
    <col min="12" max="12" width="10.1796875" style="2" customWidth="1"/>
    <col min="13" max="16384" width="8.81640625" style="2"/>
  </cols>
  <sheetData>
    <row r="1" spans="1:15" ht="18" customHeight="1" x14ac:dyDescent="0.35">
      <c r="A1" s="6" t="s">
        <v>105</v>
      </c>
      <c r="B1" s="140" t="s">
        <v>514</v>
      </c>
      <c r="C1" s="189"/>
      <c r="D1" s="189"/>
      <c r="E1" s="189"/>
      <c r="F1" s="189"/>
      <c r="G1" s="189"/>
      <c r="H1" s="189"/>
      <c r="I1" s="189"/>
      <c r="J1" s="189"/>
      <c r="K1" s="189"/>
      <c r="L1" s="106"/>
      <c r="M1" s="106"/>
      <c r="N1" s="106"/>
      <c r="O1" s="106"/>
    </row>
    <row r="2" spans="1:15" ht="18" customHeight="1" x14ac:dyDescent="0.35">
      <c r="A2" s="6"/>
      <c r="B2" s="106"/>
      <c r="C2" s="106"/>
      <c r="D2" s="106"/>
      <c r="E2" s="106"/>
      <c r="F2" s="106"/>
      <c r="G2" s="106"/>
      <c r="H2" s="106"/>
      <c r="I2" s="106"/>
      <c r="J2" s="106"/>
      <c r="K2" s="106"/>
      <c r="L2" s="106"/>
      <c r="M2" s="106"/>
      <c r="N2" s="106"/>
      <c r="O2" s="106"/>
    </row>
    <row r="3" spans="1:15" ht="18" customHeight="1" x14ac:dyDescent="0.35">
      <c r="A3" s="6"/>
      <c r="B3" s="106" t="s">
        <v>301</v>
      </c>
      <c r="C3" s="127"/>
      <c r="D3" s="127"/>
      <c r="E3" s="127"/>
      <c r="F3" s="183"/>
      <c r="G3" s="183"/>
      <c r="H3" s="183"/>
      <c r="I3" s="135"/>
      <c r="J3" s="183"/>
      <c r="K3" s="125"/>
      <c r="L3" s="125"/>
    </row>
    <row r="4" spans="1:15" ht="18" customHeight="1" x14ac:dyDescent="0.35">
      <c r="A4" s="6"/>
      <c r="B4" s="6"/>
      <c r="C4" s="27"/>
      <c r="D4" s="27"/>
      <c r="I4" s="135"/>
    </row>
    <row r="5" spans="1:15" ht="18" customHeight="1" thickBot="1" x14ac:dyDescent="0.4">
      <c r="A5" s="2" t="s">
        <v>25</v>
      </c>
      <c r="C5" s="70" t="s">
        <v>443</v>
      </c>
      <c r="D5" s="70"/>
      <c r="E5" s="71"/>
      <c r="F5" s="71" t="s">
        <v>3</v>
      </c>
      <c r="G5" s="71"/>
      <c r="I5" s="14" t="s">
        <v>32</v>
      </c>
    </row>
    <row r="6" spans="1:15" ht="18" customHeight="1" x14ac:dyDescent="0.35">
      <c r="C6" s="28"/>
      <c r="D6" s="27"/>
      <c r="I6" s="56" t="s">
        <v>26</v>
      </c>
    </row>
    <row r="7" spans="1:15" ht="18" customHeight="1" x14ac:dyDescent="0.35">
      <c r="I7" s="14" t="s">
        <v>426</v>
      </c>
    </row>
    <row r="8" spans="1:15" ht="18" customHeight="1" x14ac:dyDescent="0.35">
      <c r="A8" s="9"/>
      <c r="B8" s="9"/>
    </row>
    <row r="9" spans="1:15" ht="18" customHeight="1" x14ac:dyDescent="0.35">
      <c r="A9" s="136" t="s">
        <v>29</v>
      </c>
      <c r="B9" s="9" t="s">
        <v>3</v>
      </c>
      <c r="C9" s="8" t="s">
        <v>3</v>
      </c>
      <c r="I9" s="56" t="s">
        <v>380</v>
      </c>
      <c r="N9" s="131"/>
    </row>
    <row r="10" spans="1:15" ht="18" customHeight="1" x14ac:dyDescent="0.35">
      <c r="A10" s="122" t="s">
        <v>27</v>
      </c>
      <c r="B10" s="122"/>
      <c r="C10" s="123" t="s">
        <v>28</v>
      </c>
      <c r="D10" s="123"/>
      <c r="E10" s="124"/>
      <c r="F10" s="17"/>
      <c r="G10" s="17" t="s">
        <v>146</v>
      </c>
      <c r="H10" s="17" t="s">
        <v>145</v>
      </c>
      <c r="I10" s="107" t="s">
        <v>147</v>
      </c>
      <c r="J10" s="17" t="s">
        <v>148</v>
      </c>
    </row>
    <row r="11" spans="1:15" ht="18" customHeight="1" x14ac:dyDescent="0.35">
      <c r="A11" s="173"/>
      <c r="B11" s="29"/>
      <c r="C11" s="64"/>
      <c r="D11" s="64"/>
      <c r="E11" s="64"/>
      <c r="G11" s="99">
        <v>0</v>
      </c>
      <c r="H11" s="99">
        <v>0</v>
      </c>
      <c r="I11" s="99">
        <v>0</v>
      </c>
      <c r="J11" s="99">
        <v>0</v>
      </c>
    </row>
    <row r="12" spans="1:15" ht="18" customHeight="1" x14ac:dyDescent="0.35">
      <c r="A12" s="34"/>
      <c r="B12" s="29"/>
      <c r="C12" s="64"/>
      <c r="D12" s="64"/>
      <c r="E12" s="64"/>
      <c r="G12" s="99"/>
      <c r="H12" s="65"/>
      <c r="I12" s="101"/>
      <c r="J12" s="100"/>
    </row>
    <row r="13" spans="1:15" ht="18" customHeight="1" x14ac:dyDescent="0.35">
      <c r="A13" s="34"/>
      <c r="B13" s="29"/>
      <c r="C13" s="64"/>
      <c r="D13" s="64"/>
      <c r="E13" s="64"/>
      <c r="G13" s="99"/>
      <c r="H13" s="65"/>
      <c r="I13" s="101"/>
      <c r="J13" s="100"/>
    </row>
    <row r="14" spans="1:15" ht="18" customHeight="1" x14ac:dyDescent="0.35">
      <c r="A14" s="33"/>
      <c r="B14" s="29"/>
      <c r="C14" s="64"/>
      <c r="D14" s="64"/>
      <c r="E14" s="64"/>
      <c r="G14" s="99"/>
      <c r="H14" s="65"/>
      <c r="I14" s="101"/>
      <c r="J14" s="100"/>
    </row>
    <row r="15" spans="1:15" ht="18" customHeight="1" x14ac:dyDescent="0.35">
      <c r="A15" s="34"/>
      <c r="B15" s="29"/>
      <c r="C15" s="64"/>
      <c r="D15" s="64"/>
      <c r="E15" s="64"/>
      <c r="G15" s="99"/>
      <c r="H15" s="65"/>
      <c r="I15" s="65"/>
      <c r="J15" s="100"/>
    </row>
    <row r="16" spans="1:15" ht="18" customHeight="1" x14ac:dyDescent="0.35">
      <c r="A16" s="91"/>
      <c r="B16" s="29"/>
      <c r="C16" s="92"/>
      <c r="D16" s="92"/>
      <c r="E16" s="92"/>
      <c r="G16" s="93"/>
      <c r="H16" s="94"/>
      <c r="I16" s="94"/>
      <c r="J16" s="94"/>
    </row>
    <row r="17" spans="1:12" s="86" customFormat="1" ht="18" customHeight="1" x14ac:dyDescent="0.35">
      <c r="A17" s="73"/>
      <c r="B17" s="73"/>
      <c r="C17" s="49"/>
      <c r="D17" s="49"/>
      <c r="E17" s="50"/>
      <c r="I17" s="57"/>
      <c r="J17" s="95"/>
    </row>
    <row r="18" spans="1:12" ht="18" customHeight="1" x14ac:dyDescent="0.35">
      <c r="A18" s="137" t="s">
        <v>30</v>
      </c>
      <c r="B18" s="29"/>
      <c r="C18" s="24"/>
      <c r="D18" s="24"/>
      <c r="E18" s="25"/>
      <c r="I18" s="15" t="s">
        <v>33</v>
      </c>
      <c r="L18" s="18"/>
    </row>
    <row r="19" spans="1:12" ht="18" customHeight="1" x14ac:dyDescent="0.35">
      <c r="A19" s="122" t="s">
        <v>34</v>
      </c>
      <c r="B19" s="122"/>
      <c r="C19" s="123" t="s">
        <v>28</v>
      </c>
      <c r="D19" s="123"/>
      <c r="E19" s="25"/>
      <c r="G19" s="17" t="s">
        <v>31</v>
      </c>
      <c r="I19" s="15" t="s">
        <v>389</v>
      </c>
      <c r="L19" s="18"/>
    </row>
    <row r="20" spans="1:12" ht="18" customHeight="1" x14ac:dyDescent="0.35">
      <c r="A20" s="102"/>
      <c r="B20" s="29"/>
      <c r="C20" s="64"/>
      <c r="D20" s="64"/>
      <c r="E20" s="64"/>
      <c r="G20" s="104" t="s">
        <v>24</v>
      </c>
      <c r="I20" s="54" t="s">
        <v>390</v>
      </c>
    </row>
    <row r="21" spans="1:12" ht="18" customHeight="1" x14ac:dyDescent="0.35">
      <c r="A21" s="102"/>
      <c r="B21" s="29"/>
      <c r="C21" s="64"/>
      <c r="D21" s="64"/>
      <c r="E21" s="64"/>
      <c r="G21" s="104" t="s">
        <v>24</v>
      </c>
      <c r="I21" s="15"/>
    </row>
    <row r="22" spans="1:12" ht="18" customHeight="1" x14ac:dyDescent="0.35">
      <c r="A22" s="103" t="s">
        <v>3</v>
      </c>
      <c r="B22" s="29"/>
      <c r="C22" s="64"/>
      <c r="D22" s="64"/>
      <c r="E22" s="64"/>
      <c r="G22" s="104" t="s">
        <v>24</v>
      </c>
      <c r="I22" s="15"/>
      <c r="J22" s="17"/>
      <c r="K22" s="17"/>
      <c r="L22" s="17"/>
    </row>
    <row r="23" spans="1:12" ht="18" customHeight="1" x14ac:dyDescent="0.35">
      <c r="A23" s="91"/>
      <c r="B23" s="29"/>
      <c r="C23" s="96"/>
      <c r="D23" s="96"/>
      <c r="E23" s="97"/>
      <c r="G23" s="98"/>
      <c r="I23" s="15"/>
    </row>
    <row r="24" spans="1:12" s="86" customFormat="1" ht="18" customHeight="1" x14ac:dyDescent="0.35">
      <c r="A24" s="63"/>
      <c r="B24" s="63"/>
      <c r="C24" s="184"/>
      <c r="D24" s="184"/>
      <c r="E24" s="184"/>
      <c r="I24" s="83"/>
    </row>
    <row r="25" spans="1:12" ht="18" customHeight="1" x14ac:dyDescent="0.35">
      <c r="A25" s="137" t="s">
        <v>35</v>
      </c>
      <c r="B25" s="138"/>
      <c r="C25" s="24"/>
      <c r="D25" s="24"/>
      <c r="E25" s="25"/>
      <c r="I25" s="15"/>
    </row>
    <row r="26" spans="1:12" ht="18" customHeight="1" x14ac:dyDescent="0.35">
      <c r="A26" s="29" t="s">
        <v>391</v>
      </c>
      <c r="B26" s="29"/>
      <c r="C26" s="24"/>
      <c r="D26" s="24"/>
      <c r="E26" s="25"/>
      <c r="G26" s="137" t="s">
        <v>441</v>
      </c>
      <c r="I26" s="15" t="s">
        <v>36</v>
      </c>
    </row>
    <row r="27" spans="1:12" ht="18" customHeight="1" x14ac:dyDescent="0.35">
      <c r="A27" s="30"/>
      <c r="B27" s="30"/>
      <c r="C27" s="27"/>
      <c r="D27" s="27"/>
      <c r="I27" s="15"/>
      <c r="J27" s="18"/>
    </row>
    <row r="28" spans="1:12" ht="18" customHeight="1" x14ac:dyDescent="0.35">
      <c r="A28" s="30"/>
      <c r="B28" s="30"/>
      <c r="C28" s="27"/>
      <c r="D28" s="27"/>
      <c r="I28" s="15"/>
    </row>
    <row r="29" spans="1:12" s="86" customFormat="1" ht="18" customHeight="1" x14ac:dyDescent="0.35">
      <c r="A29" s="85"/>
      <c r="B29" s="85"/>
      <c r="C29" s="185"/>
      <c r="D29" s="185"/>
      <c r="E29" s="48"/>
      <c r="I29" s="83"/>
    </row>
    <row r="30" spans="1:12" ht="18" customHeight="1" x14ac:dyDescent="0.35">
      <c r="A30" s="137" t="s">
        <v>37</v>
      </c>
      <c r="B30" s="139"/>
      <c r="C30" s="170"/>
      <c r="D30" s="27"/>
      <c r="I30" s="15" t="s">
        <v>38</v>
      </c>
    </row>
    <row r="31" spans="1:12" ht="18" customHeight="1" x14ac:dyDescent="0.35">
      <c r="A31" s="29" t="s">
        <v>170</v>
      </c>
      <c r="B31" s="30"/>
      <c r="C31" s="27"/>
      <c r="D31" s="27"/>
      <c r="G31" s="137" t="s">
        <v>441</v>
      </c>
      <c r="I31" s="15"/>
      <c r="J31" s="18"/>
    </row>
    <row r="32" spans="1:12" ht="18" customHeight="1" x14ac:dyDescent="0.35">
      <c r="A32" s="30"/>
      <c r="B32" s="30"/>
      <c r="C32" s="27"/>
      <c r="D32" s="27"/>
      <c r="I32" s="15"/>
    </row>
    <row r="33" spans="1:10" s="86" customFormat="1" ht="18" customHeight="1" x14ac:dyDescent="0.35">
      <c r="C33" s="48"/>
      <c r="D33" s="48"/>
      <c r="E33" s="48"/>
      <c r="I33" s="83"/>
    </row>
    <row r="34" spans="1:10" ht="18" customHeight="1" x14ac:dyDescent="0.35">
      <c r="A34" s="137" t="s">
        <v>39</v>
      </c>
      <c r="B34" s="140"/>
      <c r="C34" s="186"/>
      <c r="I34" s="15" t="s">
        <v>40</v>
      </c>
    </row>
    <row r="35" spans="1:10" ht="18" customHeight="1" x14ac:dyDescent="0.35">
      <c r="A35" s="29" t="s">
        <v>171</v>
      </c>
      <c r="G35" s="137" t="s">
        <v>441</v>
      </c>
      <c r="I35" s="15"/>
      <c r="J35" s="18"/>
    </row>
    <row r="36" spans="1:10" ht="18" customHeight="1" thickBot="1" x14ac:dyDescent="0.4">
      <c r="A36" s="29" t="s">
        <v>312</v>
      </c>
      <c r="B36" s="71"/>
      <c r="C36" s="71"/>
      <c r="D36" s="71"/>
      <c r="E36" s="71"/>
      <c r="G36" s="6"/>
      <c r="I36" s="15"/>
      <c r="J36" s="18"/>
    </row>
    <row r="37" spans="1:10" ht="18" customHeight="1" x14ac:dyDescent="0.35">
      <c r="A37" s="29"/>
      <c r="G37" s="6"/>
      <c r="I37" s="15"/>
      <c r="J37" s="18"/>
    </row>
    <row r="38" spans="1:10" s="86" customFormat="1" ht="18" customHeight="1" x14ac:dyDescent="0.35">
      <c r="C38" s="48"/>
      <c r="D38" s="48"/>
      <c r="E38" s="48"/>
      <c r="I38" s="83"/>
    </row>
    <row r="39" spans="1:10" ht="18" customHeight="1" x14ac:dyDescent="0.35">
      <c r="A39" s="137" t="s">
        <v>41</v>
      </c>
      <c r="B39" s="140"/>
      <c r="I39" s="15" t="s">
        <v>169</v>
      </c>
    </row>
    <row r="40" spans="1:10" ht="18" customHeight="1" x14ac:dyDescent="0.35">
      <c r="A40" s="29" t="s">
        <v>213</v>
      </c>
      <c r="G40" s="137" t="s">
        <v>441</v>
      </c>
      <c r="I40" s="15"/>
      <c r="J40" s="18"/>
    </row>
    <row r="41" spans="1:10" ht="18" customHeight="1" thickBot="1" x14ac:dyDescent="0.4">
      <c r="A41" s="29" t="s">
        <v>312</v>
      </c>
      <c r="B41" s="71"/>
      <c r="C41" s="71"/>
      <c r="D41" s="71"/>
      <c r="E41" s="71"/>
      <c r="G41" s="6"/>
      <c r="I41" s="15"/>
      <c r="J41" s="18"/>
    </row>
    <row r="42" spans="1:10" ht="18" customHeight="1" x14ac:dyDescent="0.35">
      <c r="A42" s="29"/>
      <c r="G42" s="6"/>
      <c r="I42" s="15"/>
      <c r="J42" s="18"/>
    </row>
    <row r="43" spans="1:10" s="86" customFormat="1" ht="18" customHeight="1" x14ac:dyDescent="0.35">
      <c r="C43" s="48"/>
      <c r="D43" s="48"/>
      <c r="E43" s="48"/>
      <c r="I43" s="83"/>
    </row>
    <row r="44" spans="1:10" ht="18" customHeight="1" x14ac:dyDescent="0.35">
      <c r="A44" s="137" t="s">
        <v>42</v>
      </c>
      <c r="B44" s="140"/>
      <c r="C44" s="186"/>
      <c r="D44" s="186"/>
      <c r="E44" s="186"/>
      <c r="I44" s="15" t="s">
        <v>44</v>
      </c>
    </row>
    <row r="45" spans="1:10" ht="18" customHeight="1" x14ac:dyDescent="0.35">
      <c r="A45" s="29" t="s">
        <v>43</v>
      </c>
      <c r="G45" s="137" t="s">
        <v>441</v>
      </c>
      <c r="I45" s="15"/>
      <c r="J45" s="2" t="s">
        <v>45</v>
      </c>
    </row>
    <row r="46" spans="1:10" ht="18" customHeight="1" thickBot="1" x14ac:dyDescent="0.4">
      <c r="A46" s="2" t="s">
        <v>314</v>
      </c>
      <c r="B46" s="2" t="s">
        <v>315</v>
      </c>
      <c r="C46" s="187"/>
      <c r="I46" s="15"/>
      <c r="J46" s="2" t="s">
        <v>46</v>
      </c>
    </row>
    <row r="47" spans="1:10" ht="18" customHeight="1" x14ac:dyDescent="0.35">
      <c r="I47" s="15"/>
      <c r="J47" s="2" t="s">
        <v>313</v>
      </c>
    </row>
    <row r="48" spans="1:10" ht="18" customHeight="1" x14ac:dyDescent="0.35">
      <c r="I48" s="15"/>
    </row>
    <row r="49" spans="1:10" s="86" customFormat="1" ht="18" customHeight="1" x14ac:dyDescent="0.35">
      <c r="C49" s="48"/>
      <c r="D49" s="48"/>
      <c r="E49" s="48"/>
      <c r="I49" s="83"/>
    </row>
    <row r="50" spans="1:10" ht="18" customHeight="1" x14ac:dyDescent="0.35">
      <c r="A50" s="137" t="s">
        <v>47</v>
      </c>
      <c r="B50" s="140"/>
      <c r="C50" s="186"/>
      <c r="I50" s="15" t="s">
        <v>48</v>
      </c>
    </row>
    <row r="51" spans="1:10" ht="18" customHeight="1" x14ac:dyDescent="0.35">
      <c r="A51" s="29" t="s">
        <v>392</v>
      </c>
      <c r="G51" s="137" t="s">
        <v>441</v>
      </c>
      <c r="I51" s="15"/>
      <c r="J51" s="2" t="s">
        <v>49</v>
      </c>
    </row>
    <row r="52" spans="1:10" ht="18" customHeight="1" x14ac:dyDescent="0.35">
      <c r="I52" s="15"/>
      <c r="J52" s="2" t="s">
        <v>50</v>
      </c>
    </row>
    <row r="53" spans="1:10" ht="18" customHeight="1" x14ac:dyDescent="0.35">
      <c r="I53" s="15"/>
    </row>
    <row r="54" spans="1:10" s="86" customFormat="1" ht="18" customHeight="1" x14ac:dyDescent="0.35">
      <c r="C54" s="48"/>
      <c r="D54" s="48"/>
      <c r="E54" s="48"/>
      <c r="I54" s="83"/>
    </row>
    <row r="55" spans="1:10" ht="18" customHeight="1" x14ac:dyDescent="0.35">
      <c r="A55" s="137" t="s">
        <v>52</v>
      </c>
      <c r="B55" s="140"/>
      <c r="C55" s="186"/>
      <c r="I55" s="15"/>
    </row>
    <row r="56" spans="1:10" ht="18" customHeight="1" x14ac:dyDescent="0.35">
      <c r="A56" s="29" t="s">
        <v>51</v>
      </c>
      <c r="G56" s="137" t="s">
        <v>441</v>
      </c>
      <c r="I56" s="15" t="s">
        <v>316</v>
      </c>
    </row>
    <row r="57" spans="1:10" ht="18" customHeight="1" x14ac:dyDescent="0.35">
      <c r="A57" s="2" t="s">
        <v>214</v>
      </c>
      <c r="I57" s="15"/>
      <c r="J57" s="2" t="s">
        <v>3</v>
      </c>
    </row>
    <row r="58" spans="1:10" ht="18" customHeight="1" x14ac:dyDescent="0.35">
      <c r="I58" s="15"/>
    </row>
    <row r="59" spans="1:10" s="86" customFormat="1" ht="18" customHeight="1" x14ac:dyDescent="0.35">
      <c r="C59" s="48"/>
      <c r="D59" s="48"/>
      <c r="E59" s="48"/>
      <c r="I59" s="83"/>
    </row>
    <row r="60" spans="1:10" ht="18" customHeight="1" x14ac:dyDescent="0.35">
      <c r="A60" s="137" t="s">
        <v>53</v>
      </c>
      <c r="I60" s="15" t="s">
        <v>168</v>
      </c>
      <c r="J60" s="2" t="s">
        <v>172</v>
      </c>
    </row>
    <row r="61" spans="1:10" ht="18" customHeight="1" x14ac:dyDescent="0.35">
      <c r="A61" s="29" t="s">
        <v>54</v>
      </c>
      <c r="G61" s="137" t="s">
        <v>441</v>
      </c>
      <c r="I61" s="15"/>
      <c r="J61" s="2" t="s">
        <v>56</v>
      </c>
    </row>
    <row r="62" spans="1:10" ht="18" customHeight="1" x14ac:dyDescent="0.35">
      <c r="A62" s="29" t="s">
        <v>55</v>
      </c>
      <c r="I62" s="15"/>
    </row>
    <row r="63" spans="1:10" ht="18" customHeight="1" x14ac:dyDescent="0.35">
      <c r="B63" s="17" t="s">
        <v>59</v>
      </c>
      <c r="D63" s="36" t="s">
        <v>57</v>
      </c>
      <c r="E63" s="36" t="s">
        <v>58</v>
      </c>
      <c r="F63" s="17"/>
      <c r="G63" s="182" t="s">
        <v>60</v>
      </c>
      <c r="H63" s="36" t="s">
        <v>69</v>
      </c>
      <c r="I63" s="15"/>
    </row>
    <row r="64" spans="1:10" ht="18" customHeight="1" x14ac:dyDescent="0.35">
      <c r="I64" s="15"/>
      <c r="J64" s="18"/>
    </row>
    <row r="65" spans="1:10" ht="18" customHeight="1" x14ac:dyDescent="0.35">
      <c r="B65" s="72"/>
      <c r="C65" s="72"/>
      <c r="D65" s="68" t="s">
        <v>3</v>
      </c>
      <c r="E65" s="72"/>
      <c r="F65" s="14"/>
      <c r="G65" s="66" t="s">
        <v>24</v>
      </c>
      <c r="H65" s="66" t="s">
        <v>24</v>
      </c>
      <c r="I65" s="15"/>
    </row>
    <row r="66" spans="1:10" ht="18" customHeight="1" x14ac:dyDescent="0.35">
      <c r="B66" s="72"/>
      <c r="C66" s="105"/>
      <c r="D66" s="69"/>
      <c r="E66" s="105"/>
      <c r="F66" s="14"/>
      <c r="G66" s="67" t="s">
        <v>24</v>
      </c>
      <c r="H66" s="67" t="s">
        <v>24</v>
      </c>
      <c r="I66" s="15"/>
    </row>
    <row r="67" spans="1:10" ht="18" customHeight="1" x14ac:dyDescent="0.35">
      <c r="B67" s="105"/>
      <c r="C67" s="105"/>
      <c r="D67" s="69"/>
      <c r="E67" s="105"/>
      <c r="F67" s="14"/>
      <c r="G67" s="67" t="s">
        <v>24</v>
      </c>
      <c r="H67" s="67" t="s">
        <v>24</v>
      </c>
      <c r="I67" s="15"/>
    </row>
    <row r="68" spans="1:10" ht="18" customHeight="1" x14ac:dyDescent="0.35">
      <c r="B68" s="105"/>
      <c r="C68" s="72"/>
      <c r="D68" s="68"/>
      <c r="E68" s="72"/>
      <c r="F68" s="14"/>
      <c r="G68" s="66" t="s">
        <v>24</v>
      </c>
      <c r="H68" s="66" t="s">
        <v>24</v>
      </c>
      <c r="I68" s="15"/>
    </row>
    <row r="69" spans="1:10" ht="18" customHeight="1" x14ac:dyDescent="0.35">
      <c r="B69" s="72"/>
      <c r="C69" s="105"/>
      <c r="D69" s="69"/>
      <c r="E69" s="105"/>
      <c r="F69" s="14"/>
      <c r="G69" s="67" t="s">
        <v>24</v>
      </c>
      <c r="H69" s="67" t="s">
        <v>24</v>
      </c>
      <c r="I69" s="15"/>
    </row>
    <row r="70" spans="1:10" ht="18" customHeight="1" x14ac:dyDescent="0.35">
      <c r="B70" s="105"/>
      <c r="C70" s="105"/>
      <c r="D70" s="69"/>
      <c r="E70" s="105"/>
      <c r="F70" s="14"/>
      <c r="G70" s="67" t="s">
        <v>24</v>
      </c>
      <c r="H70" s="67" t="s">
        <v>24</v>
      </c>
      <c r="I70" s="15"/>
    </row>
    <row r="71" spans="1:10" ht="18" customHeight="1" x14ac:dyDescent="0.35">
      <c r="B71" s="105"/>
      <c r="C71" s="72"/>
      <c r="D71" s="68"/>
      <c r="E71" s="72"/>
      <c r="F71" s="14"/>
      <c r="G71" s="66" t="s">
        <v>24</v>
      </c>
      <c r="H71" s="66" t="s">
        <v>24</v>
      </c>
      <c r="I71" s="15"/>
    </row>
    <row r="72" spans="1:10" ht="18" customHeight="1" x14ac:dyDescent="0.35">
      <c r="B72" s="105"/>
      <c r="C72" s="105"/>
      <c r="D72" s="69"/>
      <c r="E72" s="105"/>
      <c r="F72" s="14"/>
      <c r="G72" s="67" t="s">
        <v>24</v>
      </c>
      <c r="H72" s="67" t="s">
        <v>24</v>
      </c>
      <c r="I72" s="15"/>
    </row>
    <row r="73" spans="1:10" ht="18" customHeight="1" x14ac:dyDescent="0.35">
      <c r="B73" s="105"/>
      <c r="C73" s="105"/>
      <c r="D73" s="69"/>
      <c r="E73" s="105"/>
      <c r="F73" s="14"/>
      <c r="G73" s="67" t="s">
        <v>24</v>
      </c>
      <c r="H73" s="67" t="s">
        <v>24</v>
      </c>
      <c r="I73" s="15"/>
    </row>
    <row r="74" spans="1:10" ht="18" customHeight="1" x14ac:dyDescent="0.35">
      <c r="I74" s="15"/>
    </row>
    <row r="75" spans="1:10" s="86" customFormat="1" ht="18" customHeight="1" x14ac:dyDescent="0.35">
      <c r="C75" s="48"/>
      <c r="D75" s="48"/>
      <c r="E75" s="48"/>
      <c r="I75" s="83"/>
    </row>
    <row r="76" spans="1:10" ht="18" customHeight="1" x14ac:dyDescent="0.35">
      <c r="A76" s="137" t="s">
        <v>73</v>
      </c>
      <c r="I76" s="15" t="s">
        <v>167</v>
      </c>
      <c r="J76" s="2" t="s">
        <v>62</v>
      </c>
    </row>
    <row r="77" spans="1:10" ht="18" customHeight="1" x14ac:dyDescent="0.35">
      <c r="A77" s="29" t="s">
        <v>61</v>
      </c>
      <c r="G77" s="137" t="s">
        <v>441</v>
      </c>
      <c r="I77" s="15"/>
      <c r="J77" s="2" t="s">
        <v>63</v>
      </c>
    </row>
    <row r="78" spans="1:10" ht="18" customHeight="1" x14ac:dyDescent="0.35">
      <c r="A78" s="29" t="s">
        <v>55</v>
      </c>
      <c r="I78" s="15"/>
    </row>
    <row r="79" spans="1:10" ht="18" customHeight="1" x14ac:dyDescent="0.35">
      <c r="A79" s="40" t="s">
        <v>65</v>
      </c>
      <c r="C79" s="40" t="s">
        <v>67</v>
      </c>
      <c r="D79" s="40" t="s">
        <v>68</v>
      </c>
      <c r="E79" s="36" t="s">
        <v>64</v>
      </c>
      <c r="F79" s="17"/>
      <c r="G79" s="39" t="s">
        <v>60</v>
      </c>
      <c r="H79" s="36" t="s">
        <v>69</v>
      </c>
      <c r="I79" s="15"/>
      <c r="J79" s="18" t="s">
        <v>66</v>
      </c>
    </row>
    <row r="80" spans="1:10" ht="18" customHeight="1" x14ac:dyDescent="0.35">
      <c r="I80" s="15"/>
      <c r="J80" s="18" t="s">
        <v>70</v>
      </c>
    </row>
    <row r="81" spans="1:13" ht="18" customHeight="1" x14ac:dyDescent="0.35">
      <c r="A81" s="35"/>
      <c r="C81" s="32"/>
      <c r="D81" s="32"/>
      <c r="E81" s="32"/>
      <c r="F81" s="35"/>
      <c r="G81" s="35" t="s">
        <v>24</v>
      </c>
      <c r="H81" s="35" t="s">
        <v>24</v>
      </c>
      <c r="I81" s="15"/>
      <c r="J81" s="18" t="s">
        <v>215</v>
      </c>
    </row>
    <row r="82" spans="1:13" ht="18" customHeight="1" x14ac:dyDescent="0.35">
      <c r="A82" s="38"/>
      <c r="C82" s="37"/>
      <c r="D82" s="37"/>
      <c r="E82" s="37"/>
      <c r="F82" s="38"/>
      <c r="G82" s="38" t="s">
        <v>24</v>
      </c>
      <c r="H82" s="38" t="s">
        <v>24</v>
      </c>
      <c r="I82" s="15"/>
      <c r="J82" s="18" t="s">
        <v>444</v>
      </c>
    </row>
    <row r="83" spans="1:13" ht="18" customHeight="1" x14ac:dyDescent="0.35">
      <c r="A83" s="38"/>
      <c r="C83" s="37"/>
      <c r="D83" s="37"/>
      <c r="E83" s="37"/>
      <c r="F83" s="38"/>
      <c r="G83" s="38" t="s">
        <v>24</v>
      </c>
      <c r="H83" s="38" t="s">
        <v>24</v>
      </c>
      <c r="I83" s="15"/>
      <c r="J83" s="18" t="s">
        <v>250</v>
      </c>
      <c r="K83" s="18"/>
      <c r="L83" s="18"/>
      <c r="M83" s="18"/>
    </row>
    <row r="84" spans="1:13" ht="18" customHeight="1" x14ac:dyDescent="0.35">
      <c r="A84" s="38"/>
      <c r="C84" s="32"/>
      <c r="D84" s="32"/>
      <c r="E84" s="32"/>
      <c r="F84" s="35"/>
      <c r="G84" s="35" t="s">
        <v>24</v>
      </c>
      <c r="H84" s="35" t="s">
        <v>24</v>
      </c>
      <c r="I84" s="15"/>
      <c r="J84" s="18" t="s">
        <v>311</v>
      </c>
    </row>
    <row r="85" spans="1:13" ht="18" customHeight="1" x14ac:dyDescent="0.35">
      <c r="A85" s="38"/>
      <c r="C85" s="37"/>
      <c r="D85" s="37"/>
      <c r="E85" s="37"/>
      <c r="F85" s="38"/>
      <c r="G85" s="38" t="s">
        <v>24</v>
      </c>
      <c r="H85" s="38" t="s">
        <v>24</v>
      </c>
      <c r="I85" s="15"/>
      <c r="J85" s="18"/>
    </row>
    <row r="86" spans="1:13" ht="18" customHeight="1" x14ac:dyDescent="0.35">
      <c r="A86" s="38"/>
      <c r="C86" s="37"/>
      <c r="D86" s="37"/>
      <c r="E86" s="37"/>
      <c r="F86" s="38"/>
      <c r="G86" s="38" t="s">
        <v>24</v>
      </c>
      <c r="H86" s="38" t="s">
        <v>24</v>
      </c>
      <c r="I86" s="15"/>
      <c r="J86" s="18"/>
    </row>
    <row r="87" spans="1:13" ht="18" customHeight="1" x14ac:dyDescent="0.35">
      <c r="A87" s="38"/>
      <c r="C87" s="32"/>
      <c r="D87" s="32"/>
      <c r="E87" s="32"/>
      <c r="F87" s="35"/>
      <c r="G87" s="35" t="s">
        <v>24</v>
      </c>
      <c r="H87" s="35" t="s">
        <v>24</v>
      </c>
      <c r="I87" s="15"/>
    </row>
    <row r="88" spans="1:13" ht="18" customHeight="1" x14ac:dyDescent="0.35">
      <c r="A88" s="38"/>
      <c r="C88" s="37"/>
      <c r="D88" s="37"/>
      <c r="E88" s="37"/>
      <c r="F88" s="38"/>
      <c r="G88" s="38" t="s">
        <v>24</v>
      </c>
      <c r="H88" s="38" t="s">
        <v>24</v>
      </c>
      <c r="I88" s="15"/>
      <c r="J88" s="18"/>
    </row>
    <row r="89" spans="1:13" ht="18" customHeight="1" x14ac:dyDescent="0.35">
      <c r="A89" s="38"/>
      <c r="C89" s="37"/>
      <c r="D89" s="37"/>
      <c r="E89" s="37"/>
      <c r="F89" s="38"/>
      <c r="G89" s="38" t="s">
        <v>24</v>
      </c>
      <c r="H89" s="38" t="s">
        <v>24</v>
      </c>
      <c r="I89" s="15"/>
      <c r="J89" s="18"/>
    </row>
    <row r="90" spans="1:13" ht="18" customHeight="1" x14ac:dyDescent="0.35">
      <c r="A90" s="38"/>
      <c r="C90" s="37"/>
      <c r="D90" s="37"/>
      <c r="E90" s="37"/>
      <c r="F90" s="38"/>
      <c r="G90" s="38" t="s">
        <v>24</v>
      </c>
      <c r="H90" s="38" t="s">
        <v>24</v>
      </c>
      <c r="I90" s="15"/>
    </row>
    <row r="91" spans="1:13" ht="18" customHeight="1" x14ac:dyDescent="0.35">
      <c r="A91" s="38"/>
      <c r="C91" s="37"/>
      <c r="D91" s="37"/>
      <c r="E91" s="37"/>
      <c r="F91" s="38"/>
      <c r="G91" s="38" t="s">
        <v>24</v>
      </c>
      <c r="H91" s="38" t="s">
        <v>24</v>
      </c>
      <c r="I91" s="130"/>
      <c r="J91" s="131"/>
    </row>
    <row r="92" spans="1:13" ht="18" customHeight="1" x14ac:dyDescent="0.35">
      <c r="I92" s="15"/>
    </row>
    <row r="93" spans="1:13" s="86" customFormat="1" ht="18" customHeight="1" x14ac:dyDescent="0.35">
      <c r="C93" s="48"/>
      <c r="D93" s="48"/>
      <c r="E93" s="48"/>
      <c r="I93" s="83"/>
    </row>
    <row r="94" spans="1:13" ht="18" customHeight="1" x14ac:dyDescent="0.35">
      <c r="A94" s="137" t="s">
        <v>74</v>
      </c>
      <c r="B94" s="140"/>
      <c r="C94" s="186"/>
      <c r="I94" s="15" t="s">
        <v>72</v>
      </c>
    </row>
    <row r="95" spans="1:13" ht="18" customHeight="1" x14ac:dyDescent="0.35">
      <c r="A95" s="29" t="s">
        <v>71</v>
      </c>
      <c r="G95" s="137" t="s">
        <v>441</v>
      </c>
      <c r="I95" s="15"/>
      <c r="J95" s="18" t="s">
        <v>308</v>
      </c>
    </row>
    <row r="96" spans="1:13" ht="18" customHeight="1" x14ac:dyDescent="0.35">
      <c r="I96" s="15"/>
      <c r="J96" s="18" t="s">
        <v>393</v>
      </c>
    </row>
    <row r="97" spans="1:10" ht="18" customHeight="1" x14ac:dyDescent="0.35">
      <c r="I97" s="15"/>
      <c r="J97" s="18"/>
    </row>
    <row r="98" spans="1:10" s="86" customFormat="1" ht="18" customHeight="1" x14ac:dyDescent="0.35">
      <c r="C98" s="48"/>
      <c r="D98" s="48"/>
      <c r="E98" s="48"/>
      <c r="I98" s="83"/>
    </row>
    <row r="99" spans="1:10" ht="18" customHeight="1" x14ac:dyDescent="0.35">
      <c r="A99" s="137" t="s">
        <v>75</v>
      </c>
      <c r="I99" s="15" t="s">
        <v>405</v>
      </c>
    </row>
    <row r="100" spans="1:10" ht="18" customHeight="1" x14ac:dyDescent="0.35">
      <c r="A100" s="29" t="s">
        <v>76</v>
      </c>
      <c r="G100" s="137" t="s">
        <v>441</v>
      </c>
      <c r="I100" s="15"/>
      <c r="J100" s="18"/>
    </row>
    <row r="101" spans="1:10" ht="18" customHeight="1" x14ac:dyDescent="0.35">
      <c r="A101" s="29"/>
      <c r="G101" s="6"/>
      <c r="I101" s="15"/>
      <c r="J101" s="18"/>
    </row>
    <row r="102" spans="1:10" s="86" customFormat="1" ht="18" customHeight="1" x14ac:dyDescent="0.35">
      <c r="C102" s="48"/>
      <c r="D102" s="48"/>
      <c r="E102" s="48"/>
      <c r="I102" s="83"/>
      <c r="J102" s="95"/>
    </row>
    <row r="103" spans="1:10" ht="18" customHeight="1" x14ac:dyDescent="0.35">
      <c r="A103" s="137" t="s">
        <v>77</v>
      </c>
      <c r="I103" s="15"/>
    </row>
    <row r="104" spans="1:10" ht="18" customHeight="1" x14ac:dyDescent="0.35">
      <c r="A104" s="29" t="s">
        <v>78</v>
      </c>
      <c r="G104" s="137" t="s">
        <v>441</v>
      </c>
      <c r="I104" s="15" t="s">
        <v>309</v>
      </c>
    </row>
    <row r="105" spans="1:10" ht="18" customHeight="1" x14ac:dyDescent="0.35">
      <c r="A105" s="29" t="s">
        <v>79</v>
      </c>
      <c r="G105" s="137" t="s">
        <v>441</v>
      </c>
      <c r="I105" s="15" t="s">
        <v>80</v>
      </c>
    </row>
    <row r="106" spans="1:10" ht="18" customHeight="1" x14ac:dyDescent="0.35">
      <c r="A106" s="29" t="s">
        <v>81</v>
      </c>
      <c r="G106" s="137" t="s">
        <v>441</v>
      </c>
      <c r="I106" s="15" t="s">
        <v>80</v>
      </c>
    </row>
    <row r="107" spans="1:10" ht="18" customHeight="1" x14ac:dyDescent="0.35">
      <c r="I107" s="15" t="s">
        <v>310</v>
      </c>
    </row>
    <row r="108" spans="1:10" ht="18" customHeight="1" x14ac:dyDescent="0.35">
      <c r="I108" s="15"/>
    </row>
    <row r="109" spans="1:10" s="86" customFormat="1" ht="18" customHeight="1" x14ac:dyDescent="0.35">
      <c r="C109" s="48"/>
      <c r="D109" s="48"/>
      <c r="E109" s="48"/>
      <c r="I109" s="83"/>
    </row>
    <row r="110" spans="1:10" ht="18" customHeight="1" x14ac:dyDescent="0.35">
      <c r="A110" s="137" t="s">
        <v>82</v>
      </c>
      <c r="B110" s="140"/>
      <c r="C110" s="186"/>
      <c r="I110" s="15"/>
    </row>
    <row r="111" spans="1:10" ht="18" customHeight="1" x14ac:dyDescent="0.35">
      <c r="A111" s="29" t="s">
        <v>83</v>
      </c>
      <c r="G111" s="137" t="s">
        <v>441</v>
      </c>
      <c r="I111" s="15" t="s">
        <v>445</v>
      </c>
    </row>
    <row r="112" spans="1:10" ht="18" customHeight="1" x14ac:dyDescent="0.35">
      <c r="I112" s="15"/>
      <c r="J112" s="18"/>
    </row>
    <row r="113" spans="1:10" s="86" customFormat="1" ht="18" customHeight="1" x14ac:dyDescent="0.35">
      <c r="C113" s="48"/>
      <c r="D113" s="48"/>
      <c r="E113" s="48"/>
      <c r="I113" s="83"/>
    </row>
    <row r="114" spans="1:10" ht="18" customHeight="1" x14ac:dyDescent="0.35">
      <c r="A114" s="137" t="s">
        <v>89</v>
      </c>
      <c r="I114" s="15"/>
    </row>
    <row r="115" spans="1:10" ht="18" customHeight="1" x14ac:dyDescent="0.35">
      <c r="A115" s="29" t="s">
        <v>174</v>
      </c>
      <c r="G115" s="137" t="s">
        <v>441</v>
      </c>
      <c r="I115" s="15" t="s">
        <v>446</v>
      </c>
    </row>
    <row r="116" spans="1:10" ht="18" customHeight="1" x14ac:dyDescent="0.35">
      <c r="I116" s="15"/>
      <c r="J116" s="18"/>
    </row>
    <row r="117" spans="1:10" s="86" customFormat="1" ht="18" customHeight="1" x14ac:dyDescent="0.35">
      <c r="C117" s="48"/>
      <c r="D117" s="48"/>
      <c r="E117" s="48"/>
      <c r="I117" s="83"/>
      <c r="J117" s="95"/>
    </row>
    <row r="118" spans="1:10" ht="18" customHeight="1" x14ac:dyDescent="0.35">
      <c r="A118" s="137" t="s">
        <v>84</v>
      </c>
      <c r="B118" s="140"/>
      <c r="C118" s="186"/>
      <c r="I118" s="15"/>
    </row>
    <row r="119" spans="1:10" ht="18" customHeight="1" x14ac:dyDescent="0.35">
      <c r="A119" s="29" t="s">
        <v>86</v>
      </c>
      <c r="G119" s="137" t="s">
        <v>441</v>
      </c>
      <c r="I119" s="15" t="s">
        <v>450</v>
      </c>
    </row>
    <row r="120" spans="1:10" ht="18" customHeight="1" x14ac:dyDescent="0.35">
      <c r="I120" s="15"/>
      <c r="J120" s="18" t="s">
        <v>85</v>
      </c>
    </row>
    <row r="121" spans="1:10" ht="18" customHeight="1" x14ac:dyDescent="0.35">
      <c r="I121" s="15"/>
      <c r="J121" s="18"/>
    </row>
    <row r="122" spans="1:10" s="86" customFormat="1" ht="18" customHeight="1" x14ac:dyDescent="0.35">
      <c r="C122" s="48"/>
      <c r="D122" s="48"/>
      <c r="E122" s="48"/>
      <c r="I122" s="83"/>
    </row>
    <row r="123" spans="1:10" ht="18" customHeight="1" x14ac:dyDescent="0.35">
      <c r="A123" s="137" t="s">
        <v>87</v>
      </c>
      <c r="I123" s="15"/>
    </row>
    <row r="124" spans="1:10" ht="18" customHeight="1" x14ac:dyDescent="0.35">
      <c r="A124" s="29" t="s">
        <v>88</v>
      </c>
      <c r="G124" s="137" t="s">
        <v>441</v>
      </c>
      <c r="I124" s="15" t="s">
        <v>447</v>
      </c>
    </row>
    <row r="125" spans="1:10" ht="18" customHeight="1" x14ac:dyDescent="0.35">
      <c r="A125" s="29" t="s">
        <v>90</v>
      </c>
      <c r="G125" s="137" t="s">
        <v>441</v>
      </c>
      <c r="I125" s="15"/>
      <c r="J125" s="18" t="s">
        <v>448</v>
      </c>
    </row>
    <row r="126" spans="1:10" ht="18" customHeight="1" x14ac:dyDescent="0.35">
      <c r="A126" s="2" t="s">
        <v>173</v>
      </c>
      <c r="I126" s="15"/>
      <c r="J126" s="18" t="s">
        <v>449</v>
      </c>
    </row>
    <row r="127" spans="1:10" ht="18" customHeight="1" x14ac:dyDescent="0.35">
      <c r="I127" s="15"/>
      <c r="J127" s="17"/>
    </row>
    <row r="128" spans="1:10" s="86" customFormat="1" ht="18" customHeight="1" x14ac:dyDescent="0.35">
      <c r="C128" s="48"/>
      <c r="D128" s="48"/>
      <c r="E128" s="48"/>
      <c r="I128" s="83"/>
    </row>
    <row r="129" spans="1:10" ht="18" customHeight="1" x14ac:dyDescent="0.35">
      <c r="A129" s="137" t="s">
        <v>91</v>
      </c>
      <c r="I129" s="15"/>
    </row>
    <row r="130" spans="1:10" ht="18" customHeight="1" x14ac:dyDescent="0.35">
      <c r="A130" s="29" t="s">
        <v>394</v>
      </c>
      <c r="G130" s="137" t="s">
        <v>441</v>
      </c>
      <c r="I130" s="15" t="s">
        <v>92</v>
      </c>
    </row>
    <row r="131" spans="1:10" ht="18" customHeight="1" x14ac:dyDescent="0.35">
      <c r="A131" s="29" t="s">
        <v>395</v>
      </c>
      <c r="G131" s="137" t="s">
        <v>441</v>
      </c>
      <c r="I131" s="15" t="s">
        <v>92</v>
      </c>
    </row>
    <row r="132" spans="1:10" ht="18" customHeight="1" x14ac:dyDescent="0.35">
      <c r="A132" s="29" t="s">
        <v>396</v>
      </c>
      <c r="G132" s="137" t="s">
        <v>441</v>
      </c>
      <c r="I132" s="15" t="s">
        <v>93</v>
      </c>
      <c r="J132" s="18"/>
    </row>
    <row r="133" spans="1:10" ht="18" customHeight="1" x14ac:dyDescent="0.35">
      <c r="I133" s="15"/>
    </row>
    <row r="134" spans="1:10" s="86" customFormat="1" ht="18" customHeight="1" x14ac:dyDescent="0.35">
      <c r="C134" s="48"/>
      <c r="D134" s="48"/>
      <c r="E134" s="48"/>
      <c r="I134" s="83"/>
    </row>
    <row r="135" spans="1:10" ht="18" customHeight="1" x14ac:dyDescent="0.35">
      <c r="A135" s="137" t="s">
        <v>94</v>
      </c>
      <c r="I135" s="15"/>
    </row>
    <row r="136" spans="1:10" ht="18" customHeight="1" x14ac:dyDescent="0.35">
      <c r="A136" s="29" t="s">
        <v>397</v>
      </c>
      <c r="G136" s="137" t="s">
        <v>441</v>
      </c>
      <c r="I136" s="15" t="s">
        <v>216</v>
      </c>
    </row>
    <row r="137" spans="1:10" ht="18" customHeight="1" x14ac:dyDescent="0.35">
      <c r="A137" s="29"/>
      <c r="G137" s="6"/>
      <c r="I137" s="15" t="s">
        <v>95</v>
      </c>
      <c r="J137" s="18"/>
    </row>
    <row r="138" spans="1:10" ht="18" customHeight="1" x14ac:dyDescent="0.35">
      <c r="I138" s="15" t="s">
        <v>451</v>
      </c>
      <c r="J138" s="18"/>
    </row>
    <row r="139" spans="1:10" ht="18" customHeight="1" x14ac:dyDescent="0.35">
      <c r="I139" s="15"/>
    </row>
    <row r="140" spans="1:10" s="86" customFormat="1" ht="18" customHeight="1" x14ac:dyDescent="0.35">
      <c r="C140" s="48"/>
      <c r="D140" s="48"/>
      <c r="E140" s="48"/>
      <c r="I140" s="83"/>
    </row>
    <row r="141" spans="1:10" ht="18" customHeight="1" x14ac:dyDescent="0.35">
      <c r="A141" s="137" t="s">
        <v>98</v>
      </c>
      <c r="B141" s="140"/>
      <c r="C141" s="186"/>
      <c r="I141" s="15"/>
    </row>
    <row r="142" spans="1:10" ht="18" customHeight="1" x14ac:dyDescent="0.35">
      <c r="A142" s="29" t="s">
        <v>398</v>
      </c>
      <c r="G142" s="137" t="s">
        <v>441</v>
      </c>
      <c r="I142" s="15" t="s">
        <v>96</v>
      </c>
    </row>
    <row r="143" spans="1:10" ht="18" customHeight="1" x14ac:dyDescent="0.35">
      <c r="I143" s="15"/>
    </row>
    <row r="144" spans="1:10" s="86" customFormat="1" ht="18" customHeight="1" x14ac:dyDescent="0.35">
      <c r="C144" s="48"/>
      <c r="D144" s="48"/>
      <c r="E144" s="48"/>
      <c r="I144" s="83"/>
    </row>
    <row r="145" spans="1:9" ht="18" customHeight="1" x14ac:dyDescent="0.35">
      <c r="A145" s="137" t="s">
        <v>399</v>
      </c>
      <c r="B145" s="140"/>
      <c r="C145" s="186"/>
      <c r="I145" s="15"/>
    </row>
    <row r="146" spans="1:9" ht="18" customHeight="1" x14ac:dyDescent="0.35">
      <c r="A146" s="29" t="s">
        <v>400</v>
      </c>
      <c r="G146" s="137" t="s">
        <v>441</v>
      </c>
      <c r="I146" s="15" t="s">
        <v>97</v>
      </c>
    </row>
    <row r="147" spans="1:9" ht="18" customHeight="1" x14ac:dyDescent="0.35">
      <c r="A147" s="29"/>
      <c r="G147" s="6"/>
      <c r="I147" s="15"/>
    </row>
    <row r="148" spans="1:9" s="86" customFormat="1" ht="18" customHeight="1" x14ac:dyDescent="0.35">
      <c r="C148" s="48"/>
      <c r="D148" s="48"/>
      <c r="E148" s="48"/>
      <c r="I148" s="83"/>
    </row>
    <row r="149" spans="1:9" ht="18" customHeight="1" x14ac:dyDescent="0.35">
      <c r="A149" s="137" t="s">
        <v>104</v>
      </c>
      <c r="I149" s="15"/>
    </row>
    <row r="150" spans="1:9" ht="18" customHeight="1" x14ac:dyDescent="0.35">
      <c r="A150" s="29" t="s">
        <v>99</v>
      </c>
      <c r="G150" s="137" t="s">
        <v>441</v>
      </c>
      <c r="I150" s="15" t="s">
        <v>317</v>
      </c>
    </row>
    <row r="151" spans="1:9" ht="18" customHeight="1" x14ac:dyDescent="0.35">
      <c r="A151" s="29" t="s">
        <v>100</v>
      </c>
      <c r="G151" s="137" t="s">
        <v>441</v>
      </c>
      <c r="I151" s="15"/>
    </row>
    <row r="152" spans="1:9" ht="18" customHeight="1" x14ac:dyDescent="0.35">
      <c r="A152" s="2" t="s">
        <v>101</v>
      </c>
      <c r="G152" s="137" t="s">
        <v>441</v>
      </c>
      <c r="I152" s="15"/>
    </row>
    <row r="153" spans="1:9" ht="18" customHeight="1" x14ac:dyDescent="0.35">
      <c r="A153" s="2" t="s">
        <v>102</v>
      </c>
      <c r="G153" s="137" t="s">
        <v>441</v>
      </c>
      <c r="I153" s="15"/>
    </row>
    <row r="154" spans="1:9" ht="18" customHeight="1" x14ac:dyDescent="0.35">
      <c r="A154" s="2" t="s">
        <v>103</v>
      </c>
      <c r="G154" s="137" t="s">
        <v>441</v>
      </c>
      <c r="I154" s="15"/>
    </row>
    <row r="155" spans="1:9" ht="18" customHeight="1" x14ac:dyDescent="0.35"/>
    <row r="156" spans="1:9" ht="18" customHeight="1" x14ac:dyDescent="0.35">
      <c r="A156" s="261" t="s">
        <v>533</v>
      </c>
      <c r="B156" s="261"/>
      <c r="C156" s="261"/>
      <c r="D156" s="261"/>
      <c r="E156" s="261"/>
      <c r="F156" s="261"/>
      <c r="G156" s="261"/>
    </row>
    <row r="157" spans="1:9" ht="18" customHeight="1" x14ac:dyDescent="0.35">
      <c r="A157" s="261"/>
      <c r="B157" s="261"/>
      <c r="C157" s="261"/>
      <c r="D157" s="261"/>
      <c r="E157" s="261"/>
      <c r="F157" s="261"/>
      <c r="G157" s="261"/>
    </row>
    <row r="158" spans="1:9" ht="18" customHeight="1" x14ac:dyDescent="0.35">
      <c r="A158" s="261"/>
      <c r="B158" s="261"/>
      <c r="C158" s="261"/>
      <c r="D158" s="261"/>
      <c r="E158" s="261"/>
      <c r="F158" s="261"/>
      <c r="G158" s="261"/>
    </row>
    <row r="159" spans="1:9" ht="18" customHeight="1" x14ac:dyDescent="0.35"/>
    <row r="160" spans="1:9"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sheetProtection selectLockedCells="1"/>
  <mergeCells count="1">
    <mergeCell ref="A156:G158"/>
  </mergeCells>
  <pageMargins left="0.75" right="0.75" top="1" bottom="1" header="0.5" footer="0.5"/>
  <pageSetup paperSize="9"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7BF4A-BC49-49FF-AA8E-8A8AE643F94D}">
  <sheetPr>
    <tabColor rgb="FF92D050"/>
    <pageSetUpPr fitToPage="1"/>
  </sheetPr>
  <dimension ref="A1:O377"/>
  <sheetViews>
    <sheetView showGridLines="0" zoomScale="70" zoomScaleNormal="70" workbookViewId="0">
      <pane ySplit="4" topLeftCell="A5" activePane="bottomLeft" state="frozen"/>
      <selection activeCell="A363" sqref="A363"/>
      <selection pane="bottomLeft" activeCell="E9" sqref="E9"/>
    </sheetView>
  </sheetViews>
  <sheetFormatPr defaultColWidth="8.81640625" defaultRowHeight="15.5" x14ac:dyDescent="0.35"/>
  <cols>
    <col min="1" max="1" width="34.453125" style="2" customWidth="1"/>
    <col min="2" max="2" width="2.81640625" style="2" customWidth="1"/>
    <col min="3" max="3" width="17.81640625" style="8" customWidth="1"/>
    <col min="4" max="5" width="13.26953125" style="8" customWidth="1"/>
    <col min="6" max="6" width="3.453125" style="2" customWidth="1"/>
    <col min="7" max="7" width="16.7265625" style="2" customWidth="1"/>
    <col min="8" max="8" width="15" style="2" customWidth="1"/>
    <col min="9" max="9" width="17.453125" style="14" customWidth="1"/>
    <col min="10" max="10" width="18.453125" style="2" customWidth="1"/>
    <col min="11" max="11" width="8.81640625" style="2"/>
    <col min="12" max="12" width="10.1796875" style="2" customWidth="1"/>
    <col min="13" max="16384" width="8.81640625" style="2"/>
  </cols>
  <sheetData>
    <row r="1" spans="1:15" ht="18" customHeight="1" x14ac:dyDescent="0.35">
      <c r="A1" s="6" t="s">
        <v>105</v>
      </c>
      <c r="B1" s="140" t="s">
        <v>514</v>
      </c>
      <c r="C1" s="189"/>
      <c r="D1" s="189"/>
      <c r="E1" s="189"/>
      <c r="F1" s="189"/>
      <c r="G1" s="189"/>
      <c r="H1" s="189"/>
      <c r="I1" s="189"/>
      <c r="J1" s="189"/>
      <c r="K1" s="189"/>
      <c r="L1" s="106"/>
      <c r="M1" s="106"/>
      <c r="N1" s="106"/>
      <c r="O1" s="106"/>
    </row>
    <row r="2" spans="1:15" ht="18" customHeight="1" x14ac:dyDescent="0.35">
      <c r="A2" s="6"/>
      <c r="B2" s="106"/>
      <c r="C2" s="106"/>
      <c r="D2" s="106"/>
      <c r="E2" s="106"/>
      <c r="F2" s="106"/>
      <c r="G2" s="106"/>
      <c r="H2" s="106"/>
      <c r="I2" s="106"/>
      <c r="J2" s="106"/>
      <c r="K2" s="106"/>
      <c r="L2" s="106"/>
      <c r="M2" s="106"/>
      <c r="N2" s="106"/>
      <c r="O2" s="106"/>
    </row>
    <row r="3" spans="1:15" ht="18" customHeight="1" x14ac:dyDescent="0.35">
      <c r="A3" s="6"/>
      <c r="B3" s="106" t="s">
        <v>387</v>
      </c>
      <c r="C3" s="127"/>
      <c r="D3" s="127"/>
      <c r="E3" s="127"/>
      <c r="F3" s="183"/>
      <c r="G3" s="183"/>
      <c r="H3" s="183"/>
      <c r="I3" s="135"/>
      <c r="J3" s="183"/>
      <c r="K3" s="125"/>
      <c r="L3" s="125"/>
    </row>
    <row r="4" spans="1:15" ht="18" customHeight="1" x14ac:dyDescent="0.35">
      <c r="A4" s="6"/>
      <c r="B4" s="6"/>
      <c r="C4" s="27"/>
      <c r="D4" s="27"/>
      <c r="I4" s="135"/>
    </row>
    <row r="5" spans="1:15" ht="18" customHeight="1" thickBot="1" x14ac:dyDescent="0.4">
      <c r="A5" s="2" t="s">
        <v>25</v>
      </c>
      <c r="C5" s="70" t="s">
        <v>443</v>
      </c>
      <c r="D5" s="70"/>
      <c r="E5" s="71"/>
      <c r="F5" s="71" t="s">
        <v>3</v>
      </c>
      <c r="G5" s="71"/>
      <c r="I5" s="14" t="s">
        <v>32</v>
      </c>
    </row>
    <row r="6" spans="1:15" ht="18" customHeight="1" x14ac:dyDescent="0.35">
      <c r="C6" s="28"/>
      <c r="D6" s="27"/>
      <c r="I6" s="56" t="s">
        <v>26</v>
      </c>
    </row>
    <row r="7" spans="1:15" ht="18" customHeight="1" x14ac:dyDescent="0.35">
      <c r="I7" s="14" t="s">
        <v>426</v>
      </c>
    </row>
    <row r="8" spans="1:15" ht="18" customHeight="1" x14ac:dyDescent="0.35">
      <c r="A8" s="9"/>
      <c r="B8" s="9"/>
    </row>
    <row r="9" spans="1:15" ht="18" customHeight="1" x14ac:dyDescent="0.35">
      <c r="A9" s="136" t="s">
        <v>29</v>
      </c>
      <c r="B9" s="9" t="s">
        <v>3</v>
      </c>
      <c r="C9" s="8" t="s">
        <v>3</v>
      </c>
      <c r="I9" s="56" t="s">
        <v>380</v>
      </c>
      <c r="N9" s="131"/>
    </row>
    <row r="10" spans="1:15" ht="18" customHeight="1" x14ac:dyDescent="0.35">
      <c r="A10" s="122" t="s">
        <v>27</v>
      </c>
      <c r="B10" s="122"/>
      <c r="C10" s="123" t="s">
        <v>28</v>
      </c>
      <c r="D10" s="123"/>
      <c r="E10" s="124"/>
      <c r="F10" s="17"/>
      <c r="G10" s="17" t="s">
        <v>146</v>
      </c>
      <c r="H10" s="17" t="s">
        <v>145</v>
      </c>
      <c r="I10" s="107" t="s">
        <v>147</v>
      </c>
      <c r="J10" s="17" t="s">
        <v>148</v>
      </c>
    </row>
    <row r="11" spans="1:15" ht="18" customHeight="1" x14ac:dyDescent="0.35">
      <c r="A11" s="173"/>
      <c r="B11" s="29"/>
      <c r="C11" s="64"/>
      <c r="D11" s="64"/>
      <c r="E11" s="64"/>
      <c r="G11" s="99">
        <v>0</v>
      </c>
      <c r="H11" s="99">
        <v>0</v>
      </c>
      <c r="I11" s="99">
        <v>0</v>
      </c>
      <c r="J11" s="99">
        <v>0</v>
      </c>
    </row>
    <row r="12" spans="1:15" ht="18" customHeight="1" x14ac:dyDescent="0.35">
      <c r="A12" s="34"/>
      <c r="B12" s="29"/>
      <c r="C12" s="64"/>
      <c r="D12" s="64"/>
      <c r="E12" s="64"/>
      <c r="G12" s="99"/>
      <c r="H12" s="65"/>
      <c r="I12" s="101"/>
      <c r="J12" s="100"/>
    </row>
    <row r="13" spans="1:15" ht="18" customHeight="1" x14ac:dyDescent="0.35">
      <c r="A13" s="34"/>
      <c r="B13" s="29"/>
      <c r="C13" s="64"/>
      <c r="D13" s="64"/>
      <c r="E13" s="64"/>
      <c r="G13" s="99"/>
      <c r="H13" s="65"/>
      <c r="I13" s="101"/>
      <c r="J13" s="100"/>
    </row>
    <row r="14" spans="1:15" ht="18" customHeight="1" x14ac:dyDescent="0.35">
      <c r="A14" s="33"/>
      <c r="B14" s="29"/>
      <c r="C14" s="64"/>
      <c r="D14" s="64"/>
      <c r="E14" s="64"/>
      <c r="G14" s="99"/>
      <c r="H14" s="65"/>
      <c r="I14" s="101"/>
      <c r="J14" s="100"/>
    </row>
    <row r="15" spans="1:15" ht="18" customHeight="1" x14ac:dyDescent="0.35">
      <c r="A15" s="34"/>
      <c r="B15" s="29"/>
      <c r="C15" s="64"/>
      <c r="D15" s="64"/>
      <c r="E15" s="64"/>
      <c r="G15" s="99"/>
      <c r="H15" s="65"/>
      <c r="I15" s="65"/>
      <c r="J15" s="100"/>
    </row>
    <row r="16" spans="1:15" ht="18" customHeight="1" x14ac:dyDescent="0.35">
      <c r="A16" s="91"/>
      <c r="B16" s="29"/>
      <c r="C16" s="92"/>
      <c r="D16" s="92"/>
      <c r="E16" s="92"/>
      <c r="G16" s="93"/>
      <c r="H16" s="94"/>
      <c r="I16" s="94"/>
      <c r="J16" s="94"/>
    </row>
    <row r="17" spans="1:12" s="86" customFormat="1" ht="18" customHeight="1" x14ac:dyDescent="0.35">
      <c r="A17" s="73"/>
      <c r="B17" s="73"/>
      <c r="C17" s="49"/>
      <c r="D17" s="49"/>
      <c r="E17" s="50"/>
      <c r="I17" s="57"/>
      <c r="J17" s="95"/>
    </row>
    <row r="18" spans="1:12" ht="18" customHeight="1" x14ac:dyDescent="0.35">
      <c r="A18" s="137" t="s">
        <v>30</v>
      </c>
      <c r="B18" s="29"/>
      <c r="C18" s="24"/>
      <c r="D18" s="24"/>
      <c r="E18" s="25"/>
      <c r="I18" s="15" t="s">
        <v>33</v>
      </c>
      <c r="L18" s="18"/>
    </row>
    <row r="19" spans="1:12" ht="18" customHeight="1" x14ac:dyDescent="0.35">
      <c r="A19" s="122" t="s">
        <v>34</v>
      </c>
      <c r="B19" s="122"/>
      <c r="C19" s="123" t="s">
        <v>28</v>
      </c>
      <c r="D19" s="123"/>
      <c r="E19" s="25"/>
      <c r="G19" s="17" t="s">
        <v>31</v>
      </c>
      <c r="I19" s="15" t="s">
        <v>389</v>
      </c>
      <c r="L19" s="18"/>
    </row>
    <row r="20" spans="1:12" ht="18" customHeight="1" x14ac:dyDescent="0.35">
      <c r="A20" s="102"/>
      <c r="B20" s="29"/>
      <c r="C20" s="64"/>
      <c r="D20" s="64"/>
      <c r="E20" s="64"/>
      <c r="G20" s="104" t="s">
        <v>24</v>
      </c>
      <c r="I20" s="54" t="s">
        <v>390</v>
      </c>
    </row>
    <row r="21" spans="1:12" ht="18" customHeight="1" x14ac:dyDescent="0.35">
      <c r="A21" s="102"/>
      <c r="B21" s="29"/>
      <c r="C21" s="64"/>
      <c r="D21" s="64"/>
      <c r="E21" s="64"/>
      <c r="G21" s="104" t="s">
        <v>24</v>
      </c>
      <c r="I21" s="15"/>
    </row>
    <row r="22" spans="1:12" ht="18" customHeight="1" x14ac:dyDescent="0.35">
      <c r="A22" s="103" t="s">
        <v>3</v>
      </c>
      <c r="B22" s="29"/>
      <c r="C22" s="64"/>
      <c r="D22" s="64"/>
      <c r="E22" s="64"/>
      <c r="G22" s="104" t="s">
        <v>24</v>
      </c>
      <c r="I22" s="15"/>
      <c r="J22" s="17"/>
      <c r="K22" s="17"/>
      <c r="L22" s="17"/>
    </row>
    <row r="23" spans="1:12" ht="18" customHeight="1" x14ac:dyDescent="0.35">
      <c r="A23" s="91"/>
      <c r="B23" s="29"/>
      <c r="C23" s="96"/>
      <c r="D23" s="96"/>
      <c r="E23" s="97"/>
      <c r="G23" s="98"/>
      <c r="I23" s="15"/>
    </row>
    <row r="24" spans="1:12" s="86" customFormat="1" ht="18" customHeight="1" x14ac:dyDescent="0.35">
      <c r="A24" s="63"/>
      <c r="B24" s="63"/>
      <c r="C24" s="184"/>
      <c r="D24" s="184"/>
      <c r="E24" s="184"/>
      <c r="I24" s="83"/>
    </row>
    <row r="25" spans="1:12" ht="18" customHeight="1" x14ac:dyDescent="0.35">
      <c r="A25" s="137" t="s">
        <v>35</v>
      </c>
      <c r="B25" s="138"/>
      <c r="C25" s="24"/>
      <c r="D25" s="24"/>
      <c r="E25" s="25"/>
      <c r="I25" s="15"/>
    </row>
    <row r="26" spans="1:12" ht="18" customHeight="1" x14ac:dyDescent="0.35">
      <c r="A26" s="29" t="s">
        <v>391</v>
      </c>
      <c r="B26" s="29"/>
      <c r="C26" s="24"/>
      <c r="D26" s="24"/>
      <c r="E26" s="25"/>
      <c r="G26" s="137" t="s">
        <v>441</v>
      </c>
      <c r="I26" s="15" t="s">
        <v>36</v>
      </c>
    </row>
    <row r="27" spans="1:12" ht="18" customHeight="1" x14ac:dyDescent="0.35">
      <c r="A27" s="30"/>
      <c r="B27" s="30"/>
      <c r="C27" s="27"/>
      <c r="D27" s="27"/>
      <c r="I27" s="15"/>
      <c r="J27" s="18"/>
    </row>
    <row r="28" spans="1:12" ht="18" customHeight="1" x14ac:dyDescent="0.35">
      <c r="A28" s="30"/>
      <c r="B28" s="30"/>
      <c r="C28" s="27"/>
      <c r="D28" s="27"/>
      <c r="I28" s="15"/>
    </row>
    <row r="29" spans="1:12" s="86" customFormat="1" ht="18" customHeight="1" x14ac:dyDescent="0.35">
      <c r="A29" s="85"/>
      <c r="B29" s="85"/>
      <c r="C29" s="185"/>
      <c r="D29" s="185"/>
      <c r="E29" s="48"/>
      <c r="I29" s="83"/>
    </row>
    <row r="30" spans="1:12" ht="18" customHeight="1" x14ac:dyDescent="0.35">
      <c r="A30" s="137" t="s">
        <v>37</v>
      </c>
      <c r="B30" s="139"/>
      <c r="C30" s="170"/>
      <c r="D30" s="27"/>
      <c r="I30" s="15" t="s">
        <v>38</v>
      </c>
    </row>
    <row r="31" spans="1:12" ht="18" customHeight="1" x14ac:dyDescent="0.35">
      <c r="A31" s="29" t="s">
        <v>170</v>
      </c>
      <c r="B31" s="30"/>
      <c r="C31" s="27"/>
      <c r="D31" s="27"/>
      <c r="G31" s="137" t="s">
        <v>441</v>
      </c>
      <c r="I31" s="15"/>
      <c r="J31" s="18"/>
    </row>
    <row r="32" spans="1:12" ht="18" customHeight="1" x14ac:dyDescent="0.35">
      <c r="A32" s="30"/>
      <c r="B32" s="30"/>
      <c r="C32" s="27"/>
      <c r="D32" s="27"/>
      <c r="I32" s="15"/>
    </row>
    <row r="33" spans="1:10" s="86" customFormat="1" ht="18" customHeight="1" x14ac:dyDescent="0.35">
      <c r="C33" s="48"/>
      <c r="D33" s="48"/>
      <c r="E33" s="48"/>
      <c r="I33" s="83"/>
    </row>
    <row r="34" spans="1:10" ht="18" customHeight="1" x14ac:dyDescent="0.35">
      <c r="A34" s="137" t="s">
        <v>39</v>
      </c>
      <c r="B34" s="140"/>
      <c r="C34" s="186"/>
      <c r="I34" s="15" t="s">
        <v>40</v>
      </c>
    </row>
    <row r="35" spans="1:10" ht="18" customHeight="1" x14ac:dyDescent="0.35">
      <c r="A35" s="29" t="s">
        <v>171</v>
      </c>
      <c r="G35" s="137" t="s">
        <v>441</v>
      </c>
      <c r="I35" s="15"/>
      <c r="J35" s="18"/>
    </row>
    <row r="36" spans="1:10" ht="18" customHeight="1" thickBot="1" x14ac:dyDescent="0.4">
      <c r="A36" s="29" t="s">
        <v>312</v>
      </c>
      <c r="B36" s="71"/>
      <c r="C36" s="71"/>
      <c r="D36" s="71"/>
      <c r="E36" s="71"/>
      <c r="G36" s="6"/>
      <c r="I36" s="15"/>
      <c r="J36" s="18"/>
    </row>
    <row r="37" spans="1:10" ht="18" customHeight="1" x14ac:dyDescent="0.35">
      <c r="A37" s="29"/>
      <c r="G37" s="6"/>
      <c r="I37" s="15"/>
      <c r="J37" s="18"/>
    </row>
    <row r="38" spans="1:10" s="86" customFormat="1" ht="18" customHeight="1" x14ac:dyDescent="0.35">
      <c r="C38" s="48"/>
      <c r="D38" s="48"/>
      <c r="E38" s="48"/>
      <c r="I38" s="83"/>
    </row>
    <row r="39" spans="1:10" ht="18" customHeight="1" x14ac:dyDescent="0.35">
      <c r="A39" s="137" t="s">
        <v>41</v>
      </c>
      <c r="B39" s="140"/>
      <c r="I39" s="15" t="s">
        <v>169</v>
      </c>
    </row>
    <row r="40" spans="1:10" ht="18" customHeight="1" x14ac:dyDescent="0.35">
      <c r="A40" s="29" t="s">
        <v>213</v>
      </c>
      <c r="G40" s="137" t="s">
        <v>441</v>
      </c>
      <c r="I40" s="15"/>
      <c r="J40" s="18"/>
    </row>
    <row r="41" spans="1:10" ht="18" customHeight="1" thickBot="1" x14ac:dyDescent="0.4">
      <c r="A41" s="29" t="s">
        <v>312</v>
      </c>
      <c r="B41" s="71"/>
      <c r="C41" s="71"/>
      <c r="D41" s="71"/>
      <c r="E41" s="71"/>
      <c r="G41" s="6"/>
      <c r="I41" s="15"/>
      <c r="J41" s="18"/>
    </row>
    <row r="42" spans="1:10" ht="18" customHeight="1" x14ac:dyDescent="0.35">
      <c r="A42" s="29"/>
      <c r="G42" s="6"/>
      <c r="I42" s="15"/>
      <c r="J42" s="18"/>
    </row>
    <row r="43" spans="1:10" s="86" customFormat="1" ht="18" customHeight="1" x14ac:dyDescent="0.35">
      <c r="C43" s="48"/>
      <c r="D43" s="48"/>
      <c r="E43" s="48"/>
      <c r="I43" s="83"/>
    </row>
    <row r="44" spans="1:10" ht="18" customHeight="1" x14ac:dyDescent="0.35">
      <c r="A44" s="137" t="s">
        <v>42</v>
      </c>
      <c r="B44" s="140"/>
      <c r="C44" s="186"/>
      <c r="D44" s="186"/>
      <c r="E44" s="186"/>
      <c r="I44" s="15" t="s">
        <v>44</v>
      </c>
    </row>
    <row r="45" spans="1:10" ht="18" customHeight="1" x14ac:dyDescent="0.35">
      <c r="A45" s="29" t="s">
        <v>43</v>
      </c>
      <c r="G45" s="137" t="s">
        <v>441</v>
      </c>
      <c r="I45" s="15"/>
      <c r="J45" s="2" t="s">
        <v>45</v>
      </c>
    </row>
    <row r="46" spans="1:10" ht="18" customHeight="1" thickBot="1" x14ac:dyDescent="0.4">
      <c r="A46" s="2" t="s">
        <v>314</v>
      </c>
      <c r="B46" s="2" t="s">
        <v>315</v>
      </c>
      <c r="C46" s="187"/>
      <c r="I46" s="15"/>
      <c r="J46" s="2" t="s">
        <v>46</v>
      </c>
    </row>
    <row r="47" spans="1:10" ht="18" customHeight="1" x14ac:dyDescent="0.35">
      <c r="I47" s="15"/>
      <c r="J47" s="2" t="s">
        <v>313</v>
      </c>
    </row>
    <row r="48" spans="1:10" ht="18" customHeight="1" x14ac:dyDescent="0.35">
      <c r="I48" s="15"/>
    </row>
    <row r="49" spans="1:10" s="86" customFormat="1" ht="18" customHeight="1" x14ac:dyDescent="0.35">
      <c r="C49" s="48"/>
      <c r="D49" s="48"/>
      <c r="E49" s="48"/>
      <c r="I49" s="83"/>
    </row>
    <row r="50" spans="1:10" ht="18" customHeight="1" x14ac:dyDescent="0.35">
      <c r="A50" s="137" t="s">
        <v>47</v>
      </c>
      <c r="B50" s="140"/>
      <c r="C50" s="186"/>
      <c r="I50" s="15" t="s">
        <v>48</v>
      </c>
    </row>
    <row r="51" spans="1:10" ht="18" customHeight="1" x14ac:dyDescent="0.35">
      <c r="A51" s="29" t="s">
        <v>392</v>
      </c>
      <c r="G51" s="137" t="s">
        <v>441</v>
      </c>
      <c r="I51" s="15"/>
      <c r="J51" s="2" t="s">
        <v>49</v>
      </c>
    </row>
    <row r="52" spans="1:10" ht="18" customHeight="1" x14ac:dyDescent="0.35">
      <c r="I52" s="15"/>
      <c r="J52" s="2" t="s">
        <v>50</v>
      </c>
    </row>
    <row r="53" spans="1:10" ht="18" customHeight="1" x14ac:dyDescent="0.35">
      <c r="I53" s="15"/>
    </row>
    <row r="54" spans="1:10" s="86" customFormat="1" ht="18" customHeight="1" x14ac:dyDescent="0.35">
      <c r="C54" s="48"/>
      <c r="D54" s="48"/>
      <c r="E54" s="48"/>
      <c r="I54" s="83"/>
    </row>
    <row r="55" spans="1:10" ht="18" customHeight="1" x14ac:dyDescent="0.35">
      <c r="A55" s="137" t="s">
        <v>52</v>
      </c>
      <c r="B55" s="140"/>
      <c r="C55" s="186"/>
      <c r="I55" s="15"/>
    </row>
    <row r="56" spans="1:10" ht="18" customHeight="1" x14ac:dyDescent="0.35">
      <c r="A56" s="29" t="s">
        <v>51</v>
      </c>
      <c r="G56" s="137" t="s">
        <v>441</v>
      </c>
      <c r="I56" s="15" t="s">
        <v>316</v>
      </c>
    </row>
    <row r="57" spans="1:10" ht="18" customHeight="1" x14ac:dyDescent="0.35">
      <c r="A57" s="2" t="s">
        <v>214</v>
      </c>
      <c r="I57" s="15"/>
      <c r="J57" s="2" t="s">
        <v>3</v>
      </c>
    </row>
    <row r="58" spans="1:10" ht="18" customHeight="1" x14ac:dyDescent="0.35">
      <c r="I58" s="15"/>
    </row>
    <row r="59" spans="1:10" s="86" customFormat="1" ht="18" customHeight="1" x14ac:dyDescent="0.35">
      <c r="C59" s="48"/>
      <c r="D59" s="48"/>
      <c r="E59" s="48"/>
      <c r="I59" s="83"/>
    </row>
    <row r="60" spans="1:10" ht="18" customHeight="1" x14ac:dyDescent="0.35">
      <c r="A60" s="137" t="s">
        <v>53</v>
      </c>
      <c r="I60" s="15" t="s">
        <v>168</v>
      </c>
      <c r="J60" s="2" t="s">
        <v>172</v>
      </c>
    </row>
    <row r="61" spans="1:10" ht="18" customHeight="1" x14ac:dyDescent="0.35">
      <c r="A61" s="29" t="s">
        <v>54</v>
      </c>
      <c r="G61" s="137" t="s">
        <v>441</v>
      </c>
      <c r="I61" s="15"/>
      <c r="J61" s="2" t="s">
        <v>56</v>
      </c>
    </row>
    <row r="62" spans="1:10" ht="18" customHeight="1" x14ac:dyDescent="0.35">
      <c r="A62" s="29" t="s">
        <v>55</v>
      </c>
      <c r="I62" s="15"/>
    </row>
    <row r="63" spans="1:10" ht="18" customHeight="1" x14ac:dyDescent="0.35">
      <c r="B63" s="17" t="s">
        <v>59</v>
      </c>
      <c r="D63" s="36" t="s">
        <v>57</v>
      </c>
      <c r="E63" s="36" t="s">
        <v>58</v>
      </c>
      <c r="F63" s="17"/>
      <c r="G63" s="182" t="s">
        <v>60</v>
      </c>
      <c r="H63" s="36" t="s">
        <v>69</v>
      </c>
      <c r="I63" s="15"/>
    </row>
    <row r="64" spans="1:10" ht="18" customHeight="1" x14ac:dyDescent="0.35">
      <c r="I64" s="15"/>
      <c r="J64" s="18"/>
    </row>
    <row r="65" spans="1:10" ht="18" customHeight="1" x14ac:dyDescent="0.35">
      <c r="B65" s="72"/>
      <c r="C65" s="72"/>
      <c r="D65" s="68" t="s">
        <v>3</v>
      </c>
      <c r="E65" s="72"/>
      <c r="F65" s="14"/>
      <c r="G65" s="66" t="s">
        <v>24</v>
      </c>
      <c r="H65" s="66" t="s">
        <v>24</v>
      </c>
      <c r="I65" s="15"/>
    </row>
    <row r="66" spans="1:10" ht="18" customHeight="1" x14ac:dyDescent="0.35">
      <c r="B66" s="72"/>
      <c r="C66" s="105"/>
      <c r="D66" s="69"/>
      <c r="E66" s="105"/>
      <c r="F66" s="14"/>
      <c r="G66" s="67" t="s">
        <v>24</v>
      </c>
      <c r="H66" s="67" t="s">
        <v>24</v>
      </c>
      <c r="I66" s="15"/>
    </row>
    <row r="67" spans="1:10" ht="18" customHeight="1" x14ac:dyDescent="0.35">
      <c r="B67" s="105"/>
      <c r="C67" s="105"/>
      <c r="D67" s="69"/>
      <c r="E67" s="105"/>
      <c r="F67" s="14"/>
      <c r="G67" s="67" t="s">
        <v>24</v>
      </c>
      <c r="H67" s="67" t="s">
        <v>24</v>
      </c>
      <c r="I67" s="15"/>
    </row>
    <row r="68" spans="1:10" ht="18" customHeight="1" x14ac:dyDescent="0.35">
      <c r="B68" s="105"/>
      <c r="C68" s="72"/>
      <c r="D68" s="68"/>
      <c r="E68" s="72"/>
      <c r="F68" s="14"/>
      <c r="G68" s="66" t="s">
        <v>24</v>
      </c>
      <c r="H68" s="66" t="s">
        <v>24</v>
      </c>
      <c r="I68" s="15"/>
    </row>
    <row r="69" spans="1:10" ht="18" customHeight="1" x14ac:dyDescent="0.35">
      <c r="B69" s="72"/>
      <c r="C69" s="105"/>
      <c r="D69" s="69"/>
      <c r="E69" s="105"/>
      <c r="F69" s="14"/>
      <c r="G69" s="67" t="s">
        <v>24</v>
      </c>
      <c r="H69" s="67" t="s">
        <v>24</v>
      </c>
      <c r="I69" s="15"/>
    </row>
    <row r="70" spans="1:10" ht="18" customHeight="1" x14ac:dyDescent="0.35">
      <c r="B70" s="105"/>
      <c r="C70" s="105"/>
      <c r="D70" s="69"/>
      <c r="E70" s="105"/>
      <c r="F70" s="14"/>
      <c r="G70" s="67" t="s">
        <v>24</v>
      </c>
      <c r="H70" s="67" t="s">
        <v>24</v>
      </c>
      <c r="I70" s="15"/>
    </row>
    <row r="71" spans="1:10" ht="18" customHeight="1" x14ac:dyDescent="0.35">
      <c r="B71" s="105"/>
      <c r="C71" s="72"/>
      <c r="D71" s="68"/>
      <c r="E71" s="72"/>
      <c r="F71" s="14"/>
      <c r="G71" s="66" t="s">
        <v>24</v>
      </c>
      <c r="H71" s="66" t="s">
        <v>24</v>
      </c>
      <c r="I71" s="15"/>
    </row>
    <row r="72" spans="1:10" ht="18" customHeight="1" x14ac:dyDescent="0.35">
      <c r="B72" s="105"/>
      <c r="C72" s="105"/>
      <c r="D72" s="69"/>
      <c r="E72" s="105"/>
      <c r="F72" s="14"/>
      <c r="G72" s="67" t="s">
        <v>24</v>
      </c>
      <c r="H72" s="67" t="s">
        <v>24</v>
      </c>
      <c r="I72" s="15"/>
    </row>
    <row r="73" spans="1:10" ht="18" customHeight="1" x14ac:dyDescent="0.35">
      <c r="B73" s="105"/>
      <c r="C73" s="105"/>
      <c r="D73" s="69"/>
      <c r="E73" s="105"/>
      <c r="F73" s="14"/>
      <c r="G73" s="67" t="s">
        <v>24</v>
      </c>
      <c r="H73" s="67" t="s">
        <v>24</v>
      </c>
      <c r="I73" s="15"/>
    </row>
    <row r="74" spans="1:10" ht="18" customHeight="1" x14ac:dyDescent="0.35">
      <c r="I74" s="15"/>
    </row>
    <row r="75" spans="1:10" s="86" customFormat="1" ht="18" customHeight="1" x14ac:dyDescent="0.35">
      <c r="C75" s="48"/>
      <c r="D75" s="48"/>
      <c r="E75" s="48"/>
      <c r="I75" s="83"/>
    </row>
    <row r="76" spans="1:10" ht="18" customHeight="1" x14ac:dyDescent="0.35">
      <c r="A76" s="137" t="s">
        <v>73</v>
      </c>
      <c r="I76" s="15" t="s">
        <v>167</v>
      </c>
      <c r="J76" s="2" t="s">
        <v>62</v>
      </c>
    </row>
    <row r="77" spans="1:10" ht="18" customHeight="1" x14ac:dyDescent="0.35">
      <c r="A77" s="29" t="s">
        <v>61</v>
      </c>
      <c r="G77" s="137" t="s">
        <v>441</v>
      </c>
      <c r="I77" s="15"/>
      <c r="J77" s="2" t="s">
        <v>63</v>
      </c>
    </row>
    <row r="78" spans="1:10" ht="18" customHeight="1" x14ac:dyDescent="0.35">
      <c r="A78" s="29" t="s">
        <v>55</v>
      </c>
      <c r="I78" s="15"/>
    </row>
    <row r="79" spans="1:10" ht="18" customHeight="1" x14ac:dyDescent="0.35">
      <c r="A79" s="40" t="s">
        <v>65</v>
      </c>
      <c r="C79" s="40" t="s">
        <v>67</v>
      </c>
      <c r="D79" s="40" t="s">
        <v>68</v>
      </c>
      <c r="E79" s="36" t="s">
        <v>64</v>
      </c>
      <c r="F79" s="17"/>
      <c r="G79" s="39" t="s">
        <v>60</v>
      </c>
      <c r="H79" s="36" t="s">
        <v>69</v>
      </c>
      <c r="I79" s="15"/>
      <c r="J79" s="18" t="s">
        <v>66</v>
      </c>
    </row>
    <row r="80" spans="1:10" ht="18" customHeight="1" x14ac:dyDescent="0.35">
      <c r="I80" s="15"/>
      <c r="J80" s="18" t="s">
        <v>70</v>
      </c>
    </row>
    <row r="81" spans="1:13" ht="18" customHeight="1" x14ac:dyDescent="0.35">
      <c r="A81" s="35"/>
      <c r="C81" s="32"/>
      <c r="D81" s="32"/>
      <c r="E81" s="32"/>
      <c r="F81" s="35"/>
      <c r="G81" s="35" t="s">
        <v>24</v>
      </c>
      <c r="H81" s="35" t="s">
        <v>24</v>
      </c>
      <c r="I81" s="15"/>
      <c r="J81" s="18" t="s">
        <v>215</v>
      </c>
    </row>
    <row r="82" spans="1:13" ht="18" customHeight="1" x14ac:dyDescent="0.35">
      <c r="A82" s="38"/>
      <c r="C82" s="37"/>
      <c r="D82" s="37"/>
      <c r="E82" s="37"/>
      <c r="F82" s="38"/>
      <c r="G82" s="38" t="s">
        <v>24</v>
      </c>
      <c r="H82" s="38" t="s">
        <v>24</v>
      </c>
      <c r="I82" s="15"/>
      <c r="J82" s="18" t="s">
        <v>444</v>
      </c>
    </row>
    <row r="83" spans="1:13" ht="18" customHeight="1" x14ac:dyDescent="0.35">
      <c r="A83" s="38"/>
      <c r="C83" s="37"/>
      <c r="D83" s="37"/>
      <c r="E83" s="37"/>
      <c r="F83" s="38"/>
      <c r="G83" s="38" t="s">
        <v>24</v>
      </c>
      <c r="H83" s="38" t="s">
        <v>24</v>
      </c>
      <c r="I83" s="15"/>
      <c r="J83" s="18" t="s">
        <v>250</v>
      </c>
      <c r="K83" s="18"/>
      <c r="L83" s="18"/>
      <c r="M83" s="18"/>
    </row>
    <row r="84" spans="1:13" ht="18" customHeight="1" x14ac:dyDescent="0.35">
      <c r="A84" s="38"/>
      <c r="C84" s="32"/>
      <c r="D84" s="32"/>
      <c r="E84" s="32"/>
      <c r="F84" s="35"/>
      <c r="G84" s="35" t="s">
        <v>24</v>
      </c>
      <c r="H84" s="35" t="s">
        <v>24</v>
      </c>
      <c r="I84" s="15"/>
      <c r="J84" s="18" t="s">
        <v>311</v>
      </c>
    </row>
    <row r="85" spans="1:13" ht="18" customHeight="1" x14ac:dyDescent="0.35">
      <c r="A85" s="38"/>
      <c r="C85" s="37"/>
      <c r="D85" s="37"/>
      <c r="E85" s="37"/>
      <c r="F85" s="38"/>
      <c r="G85" s="38" t="s">
        <v>24</v>
      </c>
      <c r="H85" s="38" t="s">
        <v>24</v>
      </c>
      <c r="I85" s="15"/>
      <c r="J85" s="18"/>
    </row>
    <row r="86" spans="1:13" ht="18" customHeight="1" x14ac:dyDescent="0.35">
      <c r="A86" s="38"/>
      <c r="C86" s="37"/>
      <c r="D86" s="37"/>
      <c r="E86" s="37"/>
      <c r="F86" s="38"/>
      <c r="G86" s="38" t="s">
        <v>24</v>
      </c>
      <c r="H86" s="38" t="s">
        <v>24</v>
      </c>
      <c r="I86" s="15"/>
      <c r="J86" s="18"/>
    </row>
    <row r="87" spans="1:13" ht="18" customHeight="1" x14ac:dyDescent="0.35">
      <c r="A87" s="38"/>
      <c r="C87" s="32"/>
      <c r="D87" s="32"/>
      <c r="E87" s="32"/>
      <c r="F87" s="35"/>
      <c r="G87" s="35" t="s">
        <v>24</v>
      </c>
      <c r="H87" s="35" t="s">
        <v>24</v>
      </c>
      <c r="I87" s="15"/>
    </row>
    <row r="88" spans="1:13" ht="18" customHeight="1" x14ac:dyDescent="0.35">
      <c r="A88" s="38"/>
      <c r="C88" s="37"/>
      <c r="D88" s="37"/>
      <c r="E88" s="37"/>
      <c r="F88" s="38"/>
      <c r="G88" s="38" t="s">
        <v>24</v>
      </c>
      <c r="H88" s="38" t="s">
        <v>24</v>
      </c>
      <c r="I88" s="15"/>
      <c r="J88" s="18"/>
    </row>
    <row r="89" spans="1:13" ht="18" customHeight="1" x14ac:dyDescent="0.35">
      <c r="A89" s="38"/>
      <c r="C89" s="37"/>
      <c r="D89" s="37"/>
      <c r="E89" s="37"/>
      <c r="F89" s="38"/>
      <c r="G89" s="38" t="s">
        <v>24</v>
      </c>
      <c r="H89" s="38" t="s">
        <v>24</v>
      </c>
      <c r="I89" s="15"/>
      <c r="J89" s="18"/>
    </row>
    <row r="90" spans="1:13" ht="18" customHeight="1" x14ac:dyDescent="0.35">
      <c r="A90" s="38"/>
      <c r="C90" s="37"/>
      <c r="D90" s="37"/>
      <c r="E90" s="37"/>
      <c r="F90" s="38"/>
      <c r="G90" s="38" t="s">
        <v>24</v>
      </c>
      <c r="H90" s="38" t="s">
        <v>24</v>
      </c>
      <c r="I90" s="15"/>
    </row>
    <row r="91" spans="1:13" ht="18" customHeight="1" x14ac:dyDescent="0.35">
      <c r="A91" s="38"/>
      <c r="C91" s="37"/>
      <c r="D91" s="37"/>
      <c r="E91" s="37"/>
      <c r="F91" s="38"/>
      <c r="G91" s="38" t="s">
        <v>24</v>
      </c>
      <c r="H91" s="38" t="s">
        <v>24</v>
      </c>
      <c r="I91" s="130"/>
      <c r="J91" s="131"/>
    </row>
    <row r="92" spans="1:13" ht="18" customHeight="1" x14ac:dyDescent="0.35">
      <c r="I92" s="15"/>
    </row>
    <row r="93" spans="1:13" s="86" customFormat="1" ht="18" customHeight="1" x14ac:dyDescent="0.35">
      <c r="C93" s="48"/>
      <c r="D93" s="48"/>
      <c r="E93" s="48"/>
      <c r="I93" s="83"/>
    </row>
    <row r="94" spans="1:13" ht="18" customHeight="1" x14ac:dyDescent="0.35">
      <c r="A94" s="137" t="s">
        <v>74</v>
      </c>
      <c r="B94" s="140"/>
      <c r="C94" s="186"/>
      <c r="I94" s="15" t="s">
        <v>72</v>
      </c>
    </row>
    <row r="95" spans="1:13" ht="18" customHeight="1" x14ac:dyDescent="0.35">
      <c r="A95" s="29" t="s">
        <v>71</v>
      </c>
      <c r="G95" s="137" t="s">
        <v>441</v>
      </c>
      <c r="I95" s="15"/>
      <c r="J95" s="18" t="s">
        <v>308</v>
      </c>
    </row>
    <row r="96" spans="1:13" ht="18" customHeight="1" x14ac:dyDescent="0.35">
      <c r="I96" s="15"/>
      <c r="J96" s="18" t="s">
        <v>393</v>
      </c>
    </row>
    <row r="97" spans="1:10" ht="18" customHeight="1" x14ac:dyDescent="0.35">
      <c r="I97" s="15"/>
      <c r="J97" s="18"/>
    </row>
    <row r="98" spans="1:10" s="86" customFormat="1" ht="18" customHeight="1" x14ac:dyDescent="0.35">
      <c r="C98" s="48"/>
      <c r="D98" s="48"/>
      <c r="E98" s="48"/>
      <c r="I98" s="83"/>
    </row>
    <row r="99" spans="1:10" ht="18" customHeight="1" x14ac:dyDescent="0.35">
      <c r="A99" s="137" t="s">
        <v>75</v>
      </c>
      <c r="I99" s="15" t="s">
        <v>405</v>
      </c>
    </row>
    <row r="100" spans="1:10" ht="18" customHeight="1" x14ac:dyDescent="0.35">
      <c r="A100" s="29" t="s">
        <v>76</v>
      </c>
      <c r="G100" s="137" t="s">
        <v>441</v>
      </c>
      <c r="I100" s="15"/>
      <c r="J100" s="18"/>
    </row>
    <row r="101" spans="1:10" ht="18" customHeight="1" x14ac:dyDescent="0.35">
      <c r="A101" s="29"/>
      <c r="G101" s="6"/>
      <c r="I101" s="15"/>
      <c r="J101" s="18"/>
    </row>
    <row r="102" spans="1:10" s="86" customFormat="1" ht="18" customHeight="1" x14ac:dyDescent="0.35">
      <c r="C102" s="48"/>
      <c r="D102" s="48"/>
      <c r="E102" s="48"/>
      <c r="I102" s="83"/>
      <c r="J102" s="95"/>
    </row>
    <row r="103" spans="1:10" ht="18" customHeight="1" x14ac:dyDescent="0.35">
      <c r="A103" s="137" t="s">
        <v>77</v>
      </c>
      <c r="I103" s="15"/>
    </row>
    <row r="104" spans="1:10" ht="18" customHeight="1" x14ac:dyDescent="0.35">
      <c r="A104" s="29" t="s">
        <v>78</v>
      </c>
      <c r="G104" s="137" t="s">
        <v>441</v>
      </c>
      <c r="I104" s="15" t="s">
        <v>309</v>
      </c>
    </row>
    <row r="105" spans="1:10" ht="18" customHeight="1" x14ac:dyDescent="0.35">
      <c r="A105" s="29" t="s">
        <v>79</v>
      </c>
      <c r="G105" s="137" t="s">
        <v>441</v>
      </c>
      <c r="I105" s="15" t="s">
        <v>80</v>
      </c>
    </row>
    <row r="106" spans="1:10" ht="18" customHeight="1" x14ac:dyDescent="0.35">
      <c r="A106" s="29" t="s">
        <v>81</v>
      </c>
      <c r="G106" s="137" t="s">
        <v>441</v>
      </c>
      <c r="I106" s="15" t="s">
        <v>80</v>
      </c>
    </row>
    <row r="107" spans="1:10" ht="18" customHeight="1" x14ac:dyDescent="0.35">
      <c r="I107" s="15" t="s">
        <v>310</v>
      </c>
    </row>
    <row r="108" spans="1:10" ht="18" customHeight="1" x14ac:dyDescent="0.35">
      <c r="I108" s="15"/>
    </row>
    <row r="109" spans="1:10" s="86" customFormat="1" ht="18" customHeight="1" x14ac:dyDescent="0.35">
      <c r="C109" s="48"/>
      <c r="D109" s="48"/>
      <c r="E109" s="48"/>
      <c r="I109" s="83"/>
    </row>
    <row r="110" spans="1:10" ht="18" customHeight="1" x14ac:dyDescent="0.35">
      <c r="A110" s="137" t="s">
        <v>82</v>
      </c>
      <c r="B110" s="140"/>
      <c r="C110" s="186"/>
      <c r="I110" s="15"/>
    </row>
    <row r="111" spans="1:10" ht="18" customHeight="1" x14ac:dyDescent="0.35">
      <c r="A111" s="29" t="s">
        <v>83</v>
      </c>
      <c r="G111" s="137" t="s">
        <v>441</v>
      </c>
      <c r="I111" s="15" t="s">
        <v>445</v>
      </c>
    </row>
    <row r="112" spans="1:10" ht="18" customHeight="1" x14ac:dyDescent="0.35">
      <c r="I112" s="15"/>
      <c r="J112" s="18"/>
    </row>
    <row r="113" spans="1:10" s="86" customFormat="1" ht="18" customHeight="1" x14ac:dyDescent="0.35">
      <c r="C113" s="48"/>
      <c r="D113" s="48"/>
      <c r="E113" s="48"/>
      <c r="I113" s="83"/>
    </row>
    <row r="114" spans="1:10" ht="18" customHeight="1" x14ac:dyDescent="0.35">
      <c r="A114" s="137" t="s">
        <v>89</v>
      </c>
      <c r="I114" s="15"/>
    </row>
    <row r="115" spans="1:10" ht="18" customHeight="1" x14ac:dyDescent="0.35">
      <c r="A115" s="29" t="s">
        <v>174</v>
      </c>
      <c r="G115" s="137" t="s">
        <v>441</v>
      </c>
      <c r="I115" s="15" t="s">
        <v>446</v>
      </c>
    </row>
    <row r="116" spans="1:10" ht="18" customHeight="1" x14ac:dyDescent="0.35">
      <c r="I116" s="15"/>
      <c r="J116" s="18"/>
    </row>
    <row r="117" spans="1:10" s="86" customFormat="1" ht="18" customHeight="1" x14ac:dyDescent="0.35">
      <c r="C117" s="48"/>
      <c r="D117" s="48"/>
      <c r="E117" s="48"/>
      <c r="I117" s="83"/>
      <c r="J117" s="95"/>
    </row>
    <row r="118" spans="1:10" ht="18" customHeight="1" x14ac:dyDescent="0.35">
      <c r="A118" s="137" t="s">
        <v>84</v>
      </c>
      <c r="B118" s="140"/>
      <c r="C118" s="186"/>
      <c r="I118" s="15"/>
    </row>
    <row r="119" spans="1:10" ht="18" customHeight="1" x14ac:dyDescent="0.35">
      <c r="A119" s="29" t="s">
        <v>86</v>
      </c>
      <c r="G119" s="137" t="s">
        <v>441</v>
      </c>
      <c r="I119" s="15" t="s">
        <v>450</v>
      </c>
    </row>
    <row r="120" spans="1:10" ht="18" customHeight="1" x14ac:dyDescent="0.35">
      <c r="I120" s="15"/>
      <c r="J120" s="18" t="s">
        <v>85</v>
      </c>
    </row>
    <row r="121" spans="1:10" ht="18" customHeight="1" x14ac:dyDescent="0.35">
      <c r="I121" s="15"/>
      <c r="J121" s="18"/>
    </row>
    <row r="122" spans="1:10" s="86" customFormat="1" ht="18" customHeight="1" x14ac:dyDescent="0.35">
      <c r="C122" s="48"/>
      <c r="D122" s="48"/>
      <c r="E122" s="48"/>
      <c r="I122" s="83"/>
    </row>
    <row r="123" spans="1:10" ht="18" customHeight="1" x14ac:dyDescent="0.35">
      <c r="A123" s="137" t="s">
        <v>87</v>
      </c>
      <c r="I123" s="15"/>
    </row>
    <row r="124" spans="1:10" ht="18" customHeight="1" x14ac:dyDescent="0.35">
      <c r="A124" s="29" t="s">
        <v>88</v>
      </c>
      <c r="G124" s="137" t="s">
        <v>441</v>
      </c>
      <c r="I124" s="15" t="s">
        <v>447</v>
      </c>
    </row>
    <row r="125" spans="1:10" ht="18" customHeight="1" x14ac:dyDescent="0.35">
      <c r="A125" s="29" t="s">
        <v>90</v>
      </c>
      <c r="G125" s="137" t="s">
        <v>441</v>
      </c>
      <c r="I125" s="15"/>
      <c r="J125" s="18" t="s">
        <v>448</v>
      </c>
    </row>
    <row r="126" spans="1:10" ht="18" customHeight="1" x14ac:dyDescent="0.35">
      <c r="A126" s="2" t="s">
        <v>173</v>
      </c>
      <c r="I126" s="15"/>
      <c r="J126" s="18" t="s">
        <v>449</v>
      </c>
    </row>
    <row r="127" spans="1:10" ht="18" customHeight="1" x14ac:dyDescent="0.35">
      <c r="I127" s="15"/>
      <c r="J127" s="17"/>
    </row>
    <row r="128" spans="1:10" s="86" customFormat="1" ht="18" customHeight="1" x14ac:dyDescent="0.35">
      <c r="C128" s="48"/>
      <c r="D128" s="48"/>
      <c r="E128" s="48"/>
      <c r="I128" s="83"/>
    </row>
    <row r="129" spans="1:10" ht="18" customHeight="1" x14ac:dyDescent="0.35">
      <c r="A129" s="137" t="s">
        <v>91</v>
      </c>
      <c r="I129" s="15"/>
    </row>
    <row r="130" spans="1:10" ht="18" customHeight="1" x14ac:dyDescent="0.35">
      <c r="A130" s="29" t="s">
        <v>394</v>
      </c>
      <c r="G130" s="137" t="s">
        <v>441</v>
      </c>
      <c r="I130" s="15" t="s">
        <v>92</v>
      </c>
    </row>
    <row r="131" spans="1:10" ht="18" customHeight="1" x14ac:dyDescent="0.35">
      <c r="A131" s="29" t="s">
        <v>395</v>
      </c>
      <c r="G131" s="137" t="s">
        <v>441</v>
      </c>
      <c r="I131" s="15" t="s">
        <v>92</v>
      </c>
    </row>
    <row r="132" spans="1:10" ht="18" customHeight="1" x14ac:dyDescent="0.35">
      <c r="A132" s="29" t="s">
        <v>396</v>
      </c>
      <c r="G132" s="137" t="s">
        <v>441</v>
      </c>
      <c r="I132" s="15" t="s">
        <v>93</v>
      </c>
      <c r="J132" s="18"/>
    </row>
    <row r="133" spans="1:10" ht="18" customHeight="1" x14ac:dyDescent="0.35">
      <c r="I133" s="15"/>
    </row>
    <row r="134" spans="1:10" s="86" customFormat="1" ht="18" customHeight="1" x14ac:dyDescent="0.35">
      <c r="C134" s="48"/>
      <c r="D134" s="48"/>
      <c r="E134" s="48"/>
      <c r="I134" s="83"/>
    </row>
    <row r="135" spans="1:10" ht="18" customHeight="1" x14ac:dyDescent="0.35">
      <c r="A135" s="137" t="s">
        <v>94</v>
      </c>
      <c r="I135" s="15"/>
    </row>
    <row r="136" spans="1:10" ht="18" customHeight="1" x14ac:dyDescent="0.35">
      <c r="A136" s="29" t="s">
        <v>397</v>
      </c>
      <c r="G136" s="137" t="s">
        <v>441</v>
      </c>
      <c r="I136" s="15" t="s">
        <v>216</v>
      </c>
    </row>
    <row r="137" spans="1:10" ht="18" customHeight="1" x14ac:dyDescent="0.35">
      <c r="A137" s="29"/>
      <c r="G137" s="6"/>
      <c r="I137" s="15" t="s">
        <v>95</v>
      </c>
      <c r="J137" s="18"/>
    </row>
    <row r="138" spans="1:10" ht="18" customHeight="1" x14ac:dyDescent="0.35">
      <c r="I138" s="15" t="s">
        <v>451</v>
      </c>
      <c r="J138" s="18"/>
    </row>
    <row r="139" spans="1:10" ht="18" customHeight="1" x14ac:dyDescent="0.35">
      <c r="I139" s="15"/>
    </row>
    <row r="140" spans="1:10" s="86" customFormat="1" ht="18" customHeight="1" x14ac:dyDescent="0.35">
      <c r="C140" s="48"/>
      <c r="D140" s="48"/>
      <c r="E140" s="48"/>
      <c r="I140" s="83"/>
    </row>
    <row r="141" spans="1:10" ht="18" customHeight="1" x14ac:dyDescent="0.35">
      <c r="A141" s="137" t="s">
        <v>98</v>
      </c>
      <c r="B141" s="140"/>
      <c r="C141" s="186"/>
      <c r="I141" s="15"/>
    </row>
    <row r="142" spans="1:10" ht="18" customHeight="1" x14ac:dyDescent="0.35">
      <c r="A142" s="29" t="s">
        <v>398</v>
      </c>
      <c r="G142" s="137" t="s">
        <v>441</v>
      </c>
      <c r="I142" s="15" t="s">
        <v>96</v>
      </c>
    </row>
    <row r="143" spans="1:10" ht="18" customHeight="1" x14ac:dyDescent="0.35">
      <c r="I143" s="15"/>
    </row>
    <row r="144" spans="1:10" s="86" customFormat="1" ht="18" customHeight="1" x14ac:dyDescent="0.35">
      <c r="C144" s="48"/>
      <c r="D144" s="48"/>
      <c r="E144" s="48"/>
      <c r="I144" s="83"/>
    </row>
    <row r="145" spans="1:9" ht="18" customHeight="1" x14ac:dyDescent="0.35">
      <c r="A145" s="137" t="s">
        <v>399</v>
      </c>
      <c r="B145" s="140"/>
      <c r="C145" s="186"/>
      <c r="I145" s="15"/>
    </row>
    <row r="146" spans="1:9" ht="18" customHeight="1" x14ac:dyDescent="0.35">
      <c r="A146" s="29" t="s">
        <v>400</v>
      </c>
      <c r="G146" s="137" t="s">
        <v>441</v>
      </c>
      <c r="I146" s="15" t="s">
        <v>97</v>
      </c>
    </row>
    <row r="147" spans="1:9" ht="18" customHeight="1" x14ac:dyDescent="0.35">
      <c r="A147" s="29"/>
      <c r="G147" s="6"/>
      <c r="I147" s="15"/>
    </row>
    <row r="148" spans="1:9" s="86" customFormat="1" ht="18" customHeight="1" x14ac:dyDescent="0.35">
      <c r="C148" s="48"/>
      <c r="D148" s="48"/>
      <c r="E148" s="48"/>
      <c r="I148" s="83"/>
    </row>
    <row r="149" spans="1:9" ht="18" customHeight="1" x14ac:dyDescent="0.35">
      <c r="A149" s="137" t="s">
        <v>104</v>
      </c>
      <c r="I149" s="15"/>
    </row>
    <row r="150" spans="1:9" ht="18" customHeight="1" x14ac:dyDescent="0.35">
      <c r="A150" s="29" t="s">
        <v>99</v>
      </c>
      <c r="G150" s="137" t="s">
        <v>441</v>
      </c>
      <c r="I150" s="15" t="s">
        <v>317</v>
      </c>
    </row>
    <row r="151" spans="1:9" ht="18" customHeight="1" x14ac:dyDescent="0.35">
      <c r="A151" s="29" t="s">
        <v>100</v>
      </c>
      <c r="G151" s="137" t="s">
        <v>441</v>
      </c>
      <c r="I151" s="15"/>
    </row>
    <row r="152" spans="1:9" ht="18" customHeight="1" x14ac:dyDescent="0.35">
      <c r="A152" s="2" t="s">
        <v>101</v>
      </c>
      <c r="G152" s="137" t="s">
        <v>441</v>
      </c>
      <c r="I152" s="15"/>
    </row>
    <row r="153" spans="1:9" ht="18" customHeight="1" x14ac:dyDescent="0.35">
      <c r="A153" s="2" t="s">
        <v>102</v>
      </c>
      <c r="G153" s="137" t="s">
        <v>441</v>
      </c>
      <c r="I153" s="15"/>
    </row>
    <row r="154" spans="1:9" ht="18" customHeight="1" x14ac:dyDescent="0.35">
      <c r="A154" s="2" t="s">
        <v>103</v>
      </c>
      <c r="G154" s="137" t="s">
        <v>441</v>
      </c>
      <c r="I154" s="15"/>
    </row>
    <row r="155" spans="1:9" ht="18" customHeight="1" x14ac:dyDescent="0.35"/>
    <row r="156" spans="1:9" ht="18" customHeight="1" x14ac:dyDescent="0.35">
      <c r="A156" s="261" t="s">
        <v>533</v>
      </c>
      <c r="B156" s="261"/>
      <c r="C156" s="261"/>
      <c r="D156" s="261"/>
      <c r="E156" s="261"/>
      <c r="F156" s="261"/>
      <c r="G156" s="261"/>
    </row>
    <row r="157" spans="1:9" ht="18" customHeight="1" x14ac:dyDescent="0.35">
      <c r="A157" s="261"/>
      <c r="B157" s="261"/>
      <c r="C157" s="261"/>
      <c r="D157" s="261"/>
      <c r="E157" s="261"/>
      <c r="F157" s="261"/>
      <c r="G157" s="261"/>
    </row>
    <row r="158" spans="1:9" ht="18" customHeight="1" x14ac:dyDescent="0.35">
      <c r="A158" s="261"/>
      <c r="B158" s="261"/>
      <c r="C158" s="261"/>
      <c r="D158" s="261"/>
      <c r="E158" s="261"/>
      <c r="F158" s="261"/>
      <c r="G158" s="261"/>
    </row>
    <row r="159" spans="1:9" ht="18" customHeight="1" x14ac:dyDescent="0.35"/>
    <row r="160" spans="1:9"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sheetProtection selectLockedCells="1"/>
  <mergeCells count="1">
    <mergeCell ref="A156:G158"/>
  </mergeCells>
  <pageMargins left="0.75" right="0.75" top="1" bottom="1" header="0.5" footer="0.5"/>
  <pageSetup paperSize="9"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R377"/>
  <sheetViews>
    <sheetView showGridLines="0" zoomScale="70" zoomScaleNormal="70" workbookViewId="0">
      <pane ySplit="3" topLeftCell="A4" activePane="bottomLeft" state="frozen"/>
      <selection activeCell="A363" sqref="A363"/>
      <selection pane="bottomLeft" activeCell="D3" sqref="D3"/>
    </sheetView>
  </sheetViews>
  <sheetFormatPr defaultColWidth="8.81640625" defaultRowHeight="15.5" x14ac:dyDescent="0.35"/>
  <cols>
    <col min="1" max="1" width="34.453125" style="2" customWidth="1"/>
    <col min="2" max="2" width="4.26953125" style="2" customWidth="1"/>
    <col min="3" max="3" width="17.81640625" style="8" customWidth="1"/>
    <col min="4" max="4" width="15.54296875" style="8" customWidth="1"/>
    <col min="5" max="5" width="13.26953125" customWidth="1"/>
    <col min="6" max="6" width="3.453125" customWidth="1"/>
    <col min="7" max="7" width="15.81640625" customWidth="1"/>
    <col min="8" max="8" width="4.453125" customWidth="1"/>
    <col min="9" max="9" width="16" customWidth="1"/>
    <col min="10" max="10" width="17.1796875" style="2" customWidth="1"/>
    <col min="11" max="16384" width="8.81640625" style="2"/>
  </cols>
  <sheetData>
    <row r="1" spans="1:18" s="6" customFormat="1" ht="18" customHeight="1" x14ac:dyDescent="0.35">
      <c r="A1" s="6" t="s">
        <v>106</v>
      </c>
      <c r="B1" s="140" t="s">
        <v>514</v>
      </c>
      <c r="C1" s="189"/>
      <c r="D1" s="189"/>
      <c r="E1" s="189"/>
      <c r="F1" s="189"/>
      <c r="G1" s="189"/>
      <c r="H1" s="189"/>
      <c r="I1" s="189"/>
      <c r="J1" s="189"/>
      <c r="K1" s="189"/>
      <c r="L1" s="140"/>
      <c r="M1"/>
      <c r="N1"/>
      <c r="O1"/>
    </row>
    <row r="2" spans="1:18" s="6" customFormat="1" ht="18" customHeight="1" x14ac:dyDescent="0.35">
      <c r="B2" s="106"/>
      <c r="C2" s="127"/>
      <c r="D2" s="127"/>
      <c r="E2" s="127"/>
      <c r="F2" s="183"/>
      <c r="G2" s="183"/>
      <c r="H2" s="183"/>
      <c r="I2" s="47"/>
      <c r="J2" s="183"/>
      <c r="K2" s="183"/>
      <c r="L2" s="183"/>
      <c r="M2" s="183"/>
      <c r="N2" s="183"/>
      <c r="O2" s="183"/>
    </row>
    <row r="3" spans="1:18" s="6" customFormat="1" ht="18" customHeight="1" x14ac:dyDescent="0.35">
      <c r="B3" s="106" t="s">
        <v>301</v>
      </c>
      <c r="C3" s="127"/>
      <c r="D3" s="127"/>
      <c r="E3" s="127"/>
      <c r="F3" s="183"/>
      <c r="G3" s="183"/>
      <c r="H3" s="183"/>
      <c r="I3" s="47"/>
      <c r="J3" s="183"/>
      <c r="K3" s="183"/>
      <c r="L3" s="183"/>
      <c r="M3" s="183"/>
      <c r="N3" s="183"/>
      <c r="O3" s="183"/>
    </row>
    <row r="4" spans="1:18" s="6" customFormat="1" ht="18" customHeight="1" x14ac:dyDescent="0.35">
      <c r="A4"/>
      <c r="B4"/>
      <c r="C4"/>
      <c r="D4"/>
      <c r="E4"/>
      <c r="F4"/>
      <c r="G4"/>
      <c r="H4"/>
      <c r="I4"/>
      <c r="J4"/>
      <c r="K4"/>
      <c r="L4"/>
      <c r="M4"/>
      <c r="N4"/>
      <c r="O4"/>
      <c r="P4"/>
      <c r="Q4"/>
      <c r="R4"/>
    </row>
    <row r="5" spans="1:18" ht="18" customHeight="1" thickBot="1" x14ac:dyDescent="0.4">
      <c r="A5" s="191" t="s">
        <v>431</v>
      </c>
      <c r="B5" s="191"/>
      <c r="C5" s="191"/>
      <c r="D5" s="191"/>
      <c r="E5" s="192"/>
      <c r="F5" s="192"/>
      <c r="G5" s="192"/>
      <c r="J5"/>
    </row>
    <row r="6" spans="1:18" ht="18" customHeight="1" x14ac:dyDescent="0.35">
      <c r="B6" s="44"/>
      <c r="C6" s="193"/>
      <c r="D6" s="193"/>
      <c r="E6" s="193"/>
      <c r="F6" s="194"/>
      <c r="G6" s="194"/>
      <c r="J6"/>
    </row>
    <row r="7" spans="1:18" ht="18" customHeight="1" x14ac:dyDescent="0.35">
      <c r="A7" s="137" t="s">
        <v>107</v>
      </c>
      <c r="B7" s="138"/>
      <c r="C7" s="24"/>
      <c r="D7" s="24"/>
      <c r="E7" s="25"/>
      <c r="F7" s="2"/>
      <c r="G7" s="2"/>
      <c r="H7" s="2"/>
      <c r="I7" s="14"/>
      <c r="J7" s="132"/>
      <c r="K7" s="132"/>
      <c r="L7" s="132"/>
      <c r="M7" s="132"/>
      <c r="N7" s="132"/>
      <c r="O7" s="132"/>
      <c r="P7" s="132"/>
      <c r="Q7" s="132"/>
      <c r="R7" s="132"/>
    </row>
    <row r="8" spans="1:18" ht="18" customHeight="1" x14ac:dyDescent="0.35">
      <c r="A8" s="29" t="s">
        <v>110</v>
      </c>
      <c r="B8" s="29"/>
      <c r="C8" s="24"/>
      <c r="D8" s="24"/>
      <c r="E8" s="25"/>
      <c r="F8" s="2"/>
      <c r="G8" s="137" t="s">
        <v>441</v>
      </c>
      <c r="H8" s="2"/>
      <c r="I8" s="15" t="s">
        <v>108</v>
      </c>
      <c r="J8" s="2" t="s">
        <v>109</v>
      </c>
    </row>
    <row r="9" spans="1:18" ht="18" customHeight="1" x14ac:dyDescent="0.35">
      <c r="A9" s="41" t="s">
        <v>217</v>
      </c>
      <c r="B9" s="41"/>
      <c r="C9" s="195"/>
      <c r="D9" s="195"/>
      <c r="E9" s="8"/>
      <c r="F9" s="2"/>
      <c r="G9" s="2"/>
      <c r="H9" s="2"/>
      <c r="I9" s="15"/>
      <c r="J9" s="2" t="s">
        <v>112</v>
      </c>
    </row>
    <row r="10" spans="1:18" ht="18" customHeight="1" x14ac:dyDescent="0.35">
      <c r="A10" s="42" t="s">
        <v>3</v>
      </c>
      <c r="B10" s="43"/>
      <c r="C10" s="196"/>
      <c r="D10" s="196"/>
      <c r="E10" s="8"/>
      <c r="F10" s="2"/>
      <c r="G10" s="2"/>
      <c r="H10" s="2"/>
      <c r="I10" s="15"/>
      <c r="J10" s="18"/>
    </row>
    <row r="11" spans="1:18" ht="18" customHeight="1" x14ac:dyDescent="0.35">
      <c r="A11" s="42"/>
      <c r="B11" s="43"/>
      <c r="C11" s="196"/>
      <c r="D11" s="196"/>
      <c r="E11" s="8"/>
      <c r="F11" s="2"/>
      <c r="G11" s="2"/>
      <c r="H11" s="2"/>
      <c r="I11" s="15"/>
      <c r="J11" s="135"/>
      <c r="K11" s="14"/>
      <c r="L11" s="14"/>
      <c r="M11" s="14"/>
      <c r="N11" s="14"/>
    </row>
    <row r="12" spans="1:18" s="125" customFormat="1" ht="18" customHeight="1" x14ac:dyDescent="0.35">
      <c r="A12" s="87" t="s">
        <v>3</v>
      </c>
      <c r="B12" s="87"/>
      <c r="C12" s="197"/>
      <c r="D12" s="197"/>
      <c r="E12" s="126"/>
      <c r="I12" s="198"/>
      <c r="J12" s="132"/>
    </row>
    <row r="13" spans="1:18" ht="18" customHeight="1" x14ac:dyDescent="0.35">
      <c r="A13" s="2" t="s">
        <v>111</v>
      </c>
      <c r="E13" s="8"/>
      <c r="F13" s="2"/>
      <c r="G13" s="2"/>
      <c r="H13" s="2"/>
      <c r="I13" s="15" t="s">
        <v>108</v>
      </c>
      <c r="J13" s="2" t="s">
        <v>303</v>
      </c>
    </row>
    <row r="14" spans="1:18" ht="18" customHeight="1" thickBot="1" x14ac:dyDescent="0.4">
      <c r="A14" s="2" t="s">
        <v>219</v>
      </c>
      <c r="C14" s="199" t="s">
        <v>3</v>
      </c>
      <c r="E14" s="8"/>
      <c r="F14" s="2"/>
      <c r="G14" s="2"/>
      <c r="H14" s="2"/>
      <c r="I14" s="15"/>
      <c r="J14" s="2" t="s">
        <v>151</v>
      </c>
    </row>
    <row r="15" spans="1:18" ht="18" customHeight="1" thickBot="1" x14ac:dyDescent="0.4">
      <c r="A15" s="2" t="s">
        <v>220</v>
      </c>
      <c r="C15" s="187"/>
      <c r="E15" s="8"/>
      <c r="F15" s="2"/>
      <c r="G15" s="2"/>
      <c r="H15" s="2"/>
      <c r="I15" s="15"/>
      <c r="J15" s="2" t="s">
        <v>453</v>
      </c>
    </row>
    <row r="16" spans="1:18" ht="18" customHeight="1" x14ac:dyDescent="0.35">
      <c r="A16" s="2" t="s">
        <v>218</v>
      </c>
      <c r="C16" s="8" t="s">
        <v>382</v>
      </c>
      <c r="E16" s="8"/>
      <c r="F16" s="2"/>
      <c r="G16" s="2"/>
      <c r="H16" s="2"/>
      <c r="I16" s="15"/>
      <c r="J16" s="2" t="s">
        <v>3</v>
      </c>
      <c r="K16" s="14"/>
      <c r="L16" s="14"/>
      <c r="M16" s="14"/>
      <c r="N16" s="14"/>
    </row>
    <row r="17" spans="1:14" ht="18" customHeight="1" thickBot="1" x14ac:dyDescent="0.4">
      <c r="A17" s="2" t="s">
        <v>221</v>
      </c>
      <c r="C17" s="200" t="s">
        <v>222</v>
      </c>
      <c r="E17" s="8"/>
      <c r="F17" s="2"/>
      <c r="G17" s="2"/>
      <c r="H17" s="2"/>
      <c r="I17" s="15"/>
    </row>
    <row r="18" spans="1:14" ht="18" customHeight="1" x14ac:dyDescent="0.35">
      <c r="E18" s="8"/>
      <c r="F18" s="2"/>
      <c r="G18" s="2"/>
      <c r="H18" s="2"/>
      <c r="I18" s="15"/>
    </row>
    <row r="19" spans="1:14" ht="18" customHeight="1" x14ac:dyDescent="0.35">
      <c r="A19" s="2" t="s">
        <v>150</v>
      </c>
      <c r="C19" s="201" t="s">
        <v>223</v>
      </c>
      <c r="D19" s="202"/>
      <c r="E19" s="8"/>
      <c r="F19" s="2"/>
      <c r="G19" s="2"/>
      <c r="H19" s="2"/>
      <c r="I19" s="15" t="s">
        <v>108</v>
      </c>
      <c r="J19" s="2" t="s">
        <v>454</v>
      </c>
    </row>
    <row r="20" spans="1:14" ht="18" customHeight="1" x14ac:dyDescent="0.35">
      <c r="E20" s="8"/>
      <c r="F20" s="2"/>
      <c r="G20" s="2"/>
      <c r="H20" s="2"/>
      <c r="I20" s="15"/>
      <c r="J20" s="2" t="s">
        <v>455</v>
      </c>
    </row>
    <row r="21" spans="1:14" ht="18" customHeight="1" x14ac:dyDescent="0.35">
      <c r="E21" s="8"/>
      <c r="F21" s="2"/>
      <c r="G21" s="2"/>
      <c r="H21" s="2"/>
      <c r="I21" s="15"/>
      <c r="J21" s="2" t="s">
        <v>456</v>
      </c>
    </row>
    <row r="22" spans="1:14" ht="18" customHeight="1" x14ac:dyDescent="0.35">
      <c r="E22" s="8"/>
      <c r="F22" s="2"/>
      <c r="G22" s="2"/>
      <c r="H22" s="2"/>
      <c r="I22" s="15"/>
    </row>
    <row r="23" spans="1:14" s="86" customFormat="1" ht="18" customHeight="1" x14ac:dyDescent="0.35">
      <c r="C23" s="48"/>
      <c r="D23" s="48"/>
      <c r="E23" s="48"/>
      <c r="I23" s="83"/>
    </row>
    <row r="24" spans="1:14" ht="18" customHeight="1" x14ac:dyDescent="0.35">
      <c r="A24" s="137" t="s">
        <v>113</v>
      </c>
      <c r="B24" s="140"/>
      <c r="C24" s="186"/>
      <c r="E24" s="8"/>
      <c r="F24" s="2"/>
      <c r="G24" s="137" t="s">
        <v>441</v>
      </c>
      <c r="H24" s="2"/>
      <c r="I24" s="15" t="s">
        <v>108</v>
      </c>
      <c r="J24" s="2" t="s">
        <v>114</v>
      </c>
    </row>
    <row r="25" spans="1:14" ht="18" customHeight="1" x14ac:dyDescent="0.35">
      <c r="A25" s="2" t="s">
        <v>115</v>
      </c>
      <c r="E25" s="137" t="s">
        <v>441</v>
      </c>
      <c r="F25" s="2"/>
      <c r="G25" s="2"/>
      <c r="H25" s="2"/>
      <c r="I25" s="15"/>
      <c r="J25" s="2" t="s">
        <v>457</v>
      </c>
    </row>
    <row r="26" spans="1:14" ht="18" customHeight="1" x14ac:dyDescent="0.35">
      <c r="A26" s="2" t="s">
        <v>175</v>
      </c>
      <c r="E26" s="8"/>
      <c r="F26" s="2"/>
      <c r="G26" s="2"/>
      <c r="H26" s="2"/>
      <c r="I26" s="15"/>
      <c r="J26" s="2" t="s">
        <v>152</v>
      </c>
    </row>
    <row r="27" spans="1:14" ht="18" customHeight="1" x14ac:dyDescent="0.35">
      <c r="A27" s="2" t="s">
        <v>237</v>
      </c>
      <c r="E27" s="8"/>
      <c r="F27" s="2"/>
      <c r="G27" s="2"/>
      <c r="H27" s="2"/>
      <c r="I27" s="15"/>
      <c r="J27"/>
      <c r="K27" s="125"/>
      <c r="L27" s="125"/>
      <c r="M27" s="125"/>
      <c r="N27" s="125"/>
    </row>
    <row r="28" spans="1:14" ht="18" customHeight="1" x14ac:dyDescent="0.35">
      <c r="E28" s="8"/>
      <c r="F28" s="2"/>
      <c r="G28" s="2"/>
      <c r="H28" s="2"/>
      <c r="I28" s="15"/>
      <c r="J28"/>
    </row>
    <row r="29" spans="1:14" s="86" customFormat="1" ht="18" customHeight="1" x14ac:dyDescent="0.35">
      <c r="C29" s="48"/>
      <c r="D29" s="48"/>
      <c r="E29" s="48"/>
      <c r="I29" s="83"/>
    </row>
    <row r="30" spans="1:14" ht="18" customHeight="1" x14ac:dyDescent="0.35">
      <c r="A30" s="137" t="s">
        <v>116</v>
      </c>
      <c r="B30" s="140"/>
      <c r="C30" s="186"/>
      <c r="D30" s="186"/>
      <c r="E30" s="186"/>
      <c r="F30" s="2"/>
      <c r="G30" s="137" t="s">
        <v>441</v>
      </c>
      <c r="H30" s="2"/>
      <c r="I30" s="15" t="s">
        <v>108</v>
      </c>
      <c r="J30" s="2" t="s">
        <v>118</v>
      </c>
    </row>
    <row r="31" spans="1:14" ht="18" customHeight="1" thickBot="1" x14ac:dyDescent="0.4">
      <c r="A31" s="2" t="s">
        <v>117</v>
      </c>
      <c r="C31" s="137" t="s">
        <v>441</v>
      </c>
      <c r="D31" s="187"/>
      <c r="E31" s="8"/>
      <c r="F31" s="2"/>
      <c r="G31" s="2"/>
      <c r="H31" s="2"/>
      <c r="I31" s="15"/>
      <c r="J31" s="135"/>
    </row>
    <row r="32" spans="1:14" ht="18" customHeight="1" thickBot="1" x14ac:dyDescent="0.4">
      <c r="A32" s="2" t="s">
        <v>248</v>
      </c>
      <c r="C32" s="137" t="s">
        <v>441</v>
      </c>
      <c r="D32" s="187"/>
      <c r="E32" s="8"/>
      <c r="F32" s="2"/>
      <c r="G32" s="2"/>
      <c r="H32" s="2"/>
      <c r="I32" s="15"/>
    </row>
    <row r="33" spans="1:14" ht="18" customHeight="1" x14ac:dyDescent="0.35">
      <c r="C33" s="203"/>
      <c r="E33" s="8"/>
      <c r="F33" s="2"/>
      <c r="G33" s="2"/>
      <c r="H33" s="2"/>
      <c r="I33" s="15"/>
    </row>
    <row r="34" spans="1:14" s="86" customFormat="1" ht="18" customHeight="1" x14ac:dyDescent="0.35">
      <c r="C34" s="48"/>
      <c r="D34" s="48"/>
      <c r="E34" s="48"/>
      <c r="I34" s="83"/>
    </row>
    <row r="35" spans="1:14" ht="18" customHeight="1" x14ac:dyDescent="0.35">
      <c r="A35" s="137" t="s">
        <v>119</v>
      </c>
      <c r="B35" s="140"/>
      <c r="C35" s="186"/>
      <c r="D35" s="186"/>
      <c r="E35" s="8"/>
      <c r="F35" s="2"/>
      <c r="G35" s="137" t="s">
        <v>441</v>
      </c>
      <c r="H35" s="2"/>
      <c r="I35" s="15" t="s">
        <v>108</v>
      </c>
      <c r="J35" s="2" t="s">
        <v>249</v>
      </c>
    </row>
    <row r="36" spans="1:14" ht="18" customHeight="1" x14ac:dyDescent="0.35">
      <c r="C36" s="2"/>
      <c r="D36" s="2"/>
      <c r="E36" s="2"/>
      <c r="F36" s="2"/>
      <c r="G36" s="2"/>
      <c r="H36" s="2"/>
      <c r="I36" s="15"/>
      <c r="J36"/>
      <c r="K36" s="125"/>
      <c r="L36" s="132"/>
      <c r="M36" s="125"/>
      <c r="N36" s="125"/>
    </row>
    <row r="37" spans="1:14" ht="18" customHeight="1" x14ac:dyDescent="0.35">
      <c r="B37" s="88"/>
      <c r="C37" s="88"/>
      <c r="D37" s="88"/>
      <c r="E37" s="88"/>
      <c r="F37" s="2"/>
      <c r="G37" s="2"/>
      <c r="H37" s="2"/>
      <c r="I37" s="15"/>
      <c r="J37" s="2" t="s">
        <v>404</v>
      </c>
      <c r="L37" s="131"/>
    </row>
    <row r="38" spans="1:14" s="86" customFormat="1" ht="18" customHeight="1" x14ac:dyDescent="0.35">
      <c r="C38" s="48"/>
      <c r="D38" s="48"/>
      <c r="E38" s="48"/>
      <c r="I38" s="83"/>
    </row>
    <row r="39" spans="1:14" ht="18" customHeight="1" x14ac:dyDescent="0.35">
      <c r="A39" s="137" t="s">
        <v>135</v>
      </c>
      <c r="B39" s="140"/>
      <c r="C39" s="186"/>
      <c r="E39" s="8"/>
      <c r="F39" s="2"/>
      <c r="G39" s="137" t="s">
        <v>441</v>
      </c>
      <c r="H39" s="2"/>
      <c r="I39" s="15" t="s">
        <v>108</v>
      </c>
      <c r="J39" s="2" t="s">
        <v>458</v>
      </c>
    </row>
    <row r="40" spans="1:14" ht="18" customHeight="1" x14ac:dyDescent="0.35">
      <c r="E40" s="8"/>
      <c r="F40" s="2"/>
      <c r="G40" s="2"/>
      <c r="H40" s="2"/>
      <c r="I40" s="15"/>
      <c r="J40"/>
      <c r="K40" s="125"/>
      <c r="L40" s="125"/>
      <c r="M40" s="125"/>
      <c r="N40" s="125"/>
    </row>
    <row r="41" spans="1:14" s="86" customFormat="1" ht="18" customHeight="1" x14ac:dyDescent="0.35">
      <c r="C41" s="48"/>
      <c r="D41" s="48"/>
      <c r="E41" s="48"/>
      <c r="I41" s="83"/>
    </row>
    <row r="42" spans="1:14" ht="18" customHeight="1" x14ac:dyDescent="0.35">
      <c r="A42" s="137" t="s">
        <v>136</v>
      </c>
      <c r="E42" s="8"/>
      <c r="F42" s="2"/>
      <c r="G42" s="137" t="s">
        <v>441</v>
      </c>
      <c r="H42" s="2"/>
      <c r="I42" s="15" t="s">
        <v>108</v>
      </c>
      <c r="J42" s="2" t="s">
        <v>401</v>
      </c>
    </row>
    <row r="43" spans="1:14" ht="18" customHeight="1" x14ac:dyDescent="0.35">
      <c r="A43" s="26"/>
      <c r="E43" s="8"/>
      <c r="F43" s="2"/>
      <c r="G43" s="6"/>
      <c r="H43" s="2"/>
      <c r="I43" s="15"/>
      <c r="J43" s="2" t="s">
        <v>238</v>
      </c>
    </row>
    <row r="44" spans="1:14" ht="18" customHeight="1" x14ac:dyDescent="0.35">
      <c r="A44" s="26"/>
      <c r="E44" s="8"/>
      <c r="F44" s="2"/>
      <c r="G44" s="6"/>
      <c r="H44" s="2"/>
      <c r="I44" s="15"/>
      <c r="J44" s="2" t="s">
        <v>239</v>
      </c>
    </row>
    <row r="45" spans="1:14" ht="18" customHeight="1" x14ac:dyDescent="0.35">
      <c r="A45" s="26"/>
      <c r="E45" s="8"/>
      <c r="F45" s="2"/>
      <c r="G45" s="6"/>
      <c r="H45" s="2"/>
      <c r="I45" s="15"/>
      <c r="J45" s="135"/>
      <c r="K45" s="125"/>
      <c r="L45" s="125"/>
      <c r="M45" s="125"/>
      <c r="N45" s="125"/>
    </row>
    <row r="46" spans="1:14" s="86" customFormat="1" ht="18" customHeight="1" x14ac:dyDescent="0.35">
      <c r="C46" s="48"/>
      <c r="D46" s="48"/>
      <c r="E46" s="48"/>
      <c r="I46" s="83"/>
    </row>
    <row r="47" spans="1:14" ht="18" customHeight="1" x14ac:dyDescent="0.35">
      <c r="A47" s="137" t="s">
        <v>120</v>
      </c>
      <c r="B47" s="140"/>
      <c r="E47" s="8"/>
      <c r="F47" s="2"/>
      <c r="G47" s="137" t="s">
        <v>441</v>
      </c>
      <c r="H47" s="2"/>
      <c r="I47" s="15" t="s">
        <v>108</v>
      </c>
      <c r="J47" s="55" t="s">
        <v>302</v>
      </c>
    </row>
    <row r="48" spans="1:14" ht="18" customHeight="1" x14ac:dyDescent="0.35">
      <c r="A48"/>
      <c r="B48"/>
      <c r="C48"/>
      <c r="D48"/>
      <c r="H48" s="2"/>
      <c r="I48" s="15"/>
      <c r="J48" s="55"/>
    </row>
    <row r="49" spans="1:14" s="86" customFormat="1" ht="18" customHeight="1" x14ac:dyDescent="0.35">
      <c r="C49" s="48"/>
      <c r="D49" s="48"/>
      <c r="E49" s="48"/>
      <c r="I49" s="83"/>
    </row>
    <row r="50" spans="1:14" ht="18" customHeight="1" x14ac:dyDescent="0.35">
      <c r="A50" s="137" t="s">
        <v>121</v>
      </c>
      <c r="B50" s="140"/>
      <c r="E50" s="8"/>
      <c r="F50" s="2"/>
      <c r="G50" s="137" t="s">
        <v>441</v>
      </c>
      <c r="H50" s="2"/>
      <c r="I50" s="15" t="s">
        <v>108</v>
      </c>
      <c r="J50" s="55" t="s">
        <v>459</v>
      </c>
      <c r="K50" s="125"/>
      <c r="L50" s="125"/>
      <c r="M50" s="125"/>
      <c r="N50" s="125"/>
    </row>
    <row r="51" spans="1:14" ht="18" customHeight="1" x14ac:dyDescent="0.35">
      <c r="A51" s="8"/>
      <c r="B51" s="8"/>
      <c r="E51" s="8"/>
      <c r="F51" s="2"/>
      <c r="G51" s="2"/>
      <c r="H51" s="2"/>
      <c r="I51" s="15"/>
      <c r="J51" s="135"/>
      <c r="K51" s="125"/>
      <c r="L51" s="125"/>
      <c r="M51" s="125"/>
      <c r="N51" s="125"/>
    </row>
    <row r="52" spans="1:14" s="86" customFormat="1" ht="18" customHeight="1" x14ac:dyDescent="0.35">
      <c r="C52" s="48"/>
      <c r="D52" s="48"/>
      <c r="E52" s="48"/>
      <c r="I52" s="83"/>
    </row>
    <row r="53" spans="1:14" ht="18" customHeight="1" x14ac:dyDescent="0.35">
      <c r="A53" s="137" t="s">
        <v>122</v>
      </c>
      <c r="E53" s="8"/>
      <c r="F53" s="2"/>
      <c r="G53" s="137" t="s">
        <v>441</v>
      </c>
      <c r="H53" s="2"/>
      <c r="I53" s="15" t="s">
        <v>108</v>
      </c>
      <c r="J53" s="2" t="s">
        <v>460</v>
      </c>
    </row>
    <row r="54" spans="1:14" ht="18" customHeight="1" x14ac:dyDescent="0.35">
      <c r="E54" s="8"/>
      <c r="F54" s="2"/>
      <c r="G54" s="6"/>
      <c r="H54" s="2"/>
      <c r="I54" s="15"/>
      <c r="J54" s="2" t="s">
        <v>123</v>
      </c>
    </row>
    <row r="55" spans="1:14" ht="18" customHeight="1" x14ac:dyDescent="0.35">
      <c r="E55" s="8"/>
      <c r="F55" s="2"/>
      <c r="G55" s="6"/>
      <c r="H55" s="2"/>
      <c r="I55" s="15"/>
      <c r="J55" s="135"/>
      <c r="K55" s="125"/>
      <c r="L55" s="125"/>
      <c r="M55" s="125"/>
      <c r="N55" s="125"/>
    </row>
    <row r="56" spans="1:14" s="86" customFormat="1" ht="18" customHeight="1" x14ac:dyDescent="0.35">
      <c r="C56" s="48"/>
      <c r="D56" s="48"/>
      <c r="E56" s="48"/>
      <c r="G56" s="63"/>
      <c r="I56" s="83"/>
    </row>
    <row r="57" spans="1:14" ht="18" customHeight="1" x14ac:dyDescent="0.35">
      <c r="A57" s="137" t="s">
        <v>124</v>
      </c>
      <c r="B57" s="140"/>
      <c r="C57" s="186"/>
      <c r="E57" s="8"/>
      <c r="F57" s="2"/>
      <c r="G57" s="137" t="s">
        <v>441</v>
      </c>
      <c r="H57" s="2"/>
      <c r="I57" s="15" t="s">
        <v>108</v>
      </c>
      <c r="J57" s="2" t="s">
        <v>153</v>
      </c>
    </row>
    <row r="58" spans="1:14" ht="18" customHeight="1" x14ac:dyDescent="0.35">
      <c r="A58" s="126"/>
      <c r="B58" s="125"/>
      <c r="E58" s="8"/>
      <c r="F58" s="2"/>
      <c r="G58" s="6"/>
      <c r="H58" s="2"/>
      <c r="I58" s="15"/>
      <c r="J58" s="2" t="s">
        <v>318</v>
      </c>
    </row>
    <row r="59" spans="1:14" ht="18" customHeight="1" x14ac:dyDescent="0.35">
      <c r="E59" s="8"/>
      <c r="F59" s="2"/>
      <c r="G59" s="2"/>
      <c r="H59" s="2"/>
      <c r="I59" s="15"/>
      <c r="J59" s="2" t="s">
        <v>125</v>
      </c>
    </row>
    <row r="60" spans="1:14" ht="18" customHeight="1" x14ac:dyDescent="0.35">
      <c r="E60" s="8"/>
      <c r="F60" s="2"/>
      <c r="G60" s="2"/>
      <c r="H60" s="2"/>
      <c r="I60" s="15"/>
      <c r="J60" s="135"/>
      <c r="K60" s="125"/>
      <c r="L60" s="125"/>
      <c r="M60" s="125"/>
      <c r="N60" s="125"/>
    </row>
    <row r="61" spans="1:14" s="86" customFormat="1" ht="18" customHeight="1" x14ac:dyDescent="0.35">
      <c r="C61" s="48"/>
      <c r="D61" s="48"/>
      <c r="E61" s="48"/>
      <c r="I61" s="83"/>
    </row>
    <row r="62" spans="1:14" ht="18" customHeight="1" x14ac:dyDescent="0.35">
      <c r="A62" s="137" t="s">
        <v>126</v>
      </c>
      <c r="B62" s="140"/>
      <c r="C62" s="186"/>
      <c r="D62" s="186"/>
      <c r="E62" s="186"/>
      <c r="F62" s="2"/>
      <c r="G62" s="137" t="s">
        <v>441</v>
      </c>
      <c r="H62" s="2"/>
      <c r="I62" s="15" t="s">
        <v>108</v>
      </c>
      <c r="J62" s="2" t="s">
        <v>176</v>
      </c>
    </row>
    <row r="63" spans="1:14" ht="18" customHeight="1" x14ac:dyDescent="0.35">
      <c r="E63" s="8"/>
      <c r="F63" s="2"/>
      <c r="G63" s="2"/>
      <c r="H63" s="2"/>
      <c r="I63" s="15"/>
      <c r="J63" s="2" t="s">
        <v>319</v>
      </c>
    </row>
    <row r="64" spans="1:14" ht="18" customHeight="1" x14ac:dyDescent="0.35">
      <c r="E64" s="8"/>
      <c r="F64" s="2"/>
      <c r="G64" s="2"/>
      <c r="H64" s="2"/>
      <c r="I64" s="15"/>
      <c r="J64" s="2" t="s">
        <v>432</v>
      </c>
    </row>
    <row r="65" spans="1:14" ht="18" customHeight="1" x14ac:dyDescent="0.35">
      <c r="E65" s="8"/>
      <c r="F65" s="2"/>
      <c r="G65" s="2"/>
      <c r="H65" s="2"/>
      <c r="I65" s="15"/>
    </row>
    <row r="66" spans="1:14" s="86" customFormat="1" ht="18" customHeight="1" x14ac:dyDescent="0.35">
      <c r="C66" s="48"/>
      <c r="D66" s="48"/>
      <c r="E66" s="48"/>
      <c r="I66" s="83"/>
      <c r="J66" s="204"/>
    </row>
    <row r="67" spans="1:14" ht="18" customHeight="1" x14ac:dyDescent="0.35">
      <c r="A67" s="153" t="s">
        <v>127</v>
      </c>
      <c r="B67" s="140"/>
      <c r="C67" s="186"/>
      <c r="E67" s="8"/>
      <c r="F67" s="2"/>
      <c r="G67" s="137" t="s">
        <v>441</v>
      </c>
      <c r="H67" s="2"/>
      <c r="I67" s="15" t="s">
        <v>108</v>
      </c>
      <c r="J67" s="2" t="s">
        <v>461</v>
      </c>
    </row>
    <row r="68" spans="1:14" ht="18" customHeight="1" x14ac:dyDescent="0.35">
      <c r="A68" s="2" t="s">
        <v>320</v>
      </c>
      <c r="D68"/>
      <c r="E68" s="8"/>
      <c r="F68" s="2"/>
      <c r="G68" s="2"/>
      <c r="H68" s="2"/>
      <c r="I68" s="15"/>
      <c r="J68" s="2" t="s">
        <v>128</v>
      </c>
    </row>
    <row r="69" spans="1:14" ht="18" customHeight="1" x14ac:dyDescent="0.35">
      <c r="E69" s="8"/>
      <c r="F69" s="2"/>
      <c r="G69" s="2"/>
      <c r="H69" s="2"/>
      <c r="I69" s="15"/>
      <c r="J69" s="2" t="s">
        <v>462</v>
      </c>
    </row>
    <row r="70" spans="1:14" ht="18" customHeight="1" x14ac:dyDescent="0.35">
      <c r="E70" s="8"/>
      <c r="F70" s="2"/>
      <c r="G70" s="2"/>
      <c r="H70" s="2"/>
      <c r="I70" s="15"/>
      <c r="J70" s="135"/>
      <c r="K70" s="125"/>
      <c r="L70" s="125"/>
      <c r="M70" s="125"/>
      <c r="N70" s="125"/>
    </row>
    <row r="71" spans="1:14" s="86" customFormat="1" ht="18" customHeight="1" x14ac:dyDescent="0.35">
      <c r="C71" s="48"/>
      <c r="D71" s="48"/>
      <c r="E71" s="48"/>
      <c r="I71" s="83"/>
    </row>
    <row r="72" spans="1:14" ht="18" customHeight="1" x14ac:dyDescent="0.35">
      <c r="A72" s="137" t="s">
        <v>129</v>
      </c>
      <c r="E72" s="8"/>
      <c r="F72" s="2"/>
      <c r="G72" s="137" t="s">
        <v>441</v>
      </c>
      <c r="H72" s="2"/>
      <c r="I72" s="15" t="s">
        <v>108</v>
      </c>
      <c r="J72" s="2" t="s">
        <v>130</v>
      </c>
    </row>
    <row r="73" spans="1:14" ht="18" customHeight="1" x14ac:dyDescent="0.35">
      <c r="E73" s="8"/>
      <c r="F73" s="2"/>
      <c r="G73" s="2"/>
      <c r="H73" s="2"/>
      <c r="I73" s="15"/>
    </row>
    <row r="74" spans="1:14" s="86" customFormat="1" ht="18" customHeight="1" x14ac:dyDescent="0.35">
      <c r="C74" s="48"/>
      <c r="D74" s="48"/>
      <c r="E74" s="48"/>
      <c r="I74" s="83"/>
    </row>
    <row r="75" spans="1:14" ht="18" customHeight="1" x14ac:dyDescent="0.35">
      <c r="A75" s="137" t="s">
        <v>131</v>
      </c>
      <c r="B75" s="140"/>
      <c r="C75" s="186"/>
      <c r="D75" s="186"/>
      <c r="E75" s="8"/>
      <c r="F75" s="2"/>
      <c r="G75" s="137" t="s">
        <v>441</v>
      </c>
      <c r="H75" s="2"/>
      <c r="I75" s="15" t="s">
        <v>108</v>
      </c>
      <c r="J75" s="14" t="s">
        <v>132</v>
      </c>
    </row>
    <row r="76" spans="1:14" ht="18" customHeight="1" x14ac:dyDescent="0.35">
      <c r="A76" s="26"/>
      <c r="E76" s="8"/>
      <c r="F76" s="2"/>
      <c r="G76" s="6"/>
      <c r="H76" s="2"/>
      <c r="I76" s="15"/>
      <c r="J76" s="14"/>
      <c r="K76" s="14"/>
      <c r="L76" s="14"/>
    </row>
    <row r="77" spans="1:14" s="86" customFormat="1" ht="18" customHeight="1" x14ac:dyDescent="0.35">
      <c r="C77" s="48"/>
      <c r="D77" s="48"/>
      <c r="E77" s="48"/>
      <c r="I77" s="83"/>
      <c r="J77" s="86" t="s">
        <v>3</v>
      </c>
    </row>
    <row r="78" spans="1:14" ht="18" customHeight="1" x14ac:dyDescent="0.35">
      <c r="A78" s="137" t="s">
        <v>133</v>
      </c>
      <c r="E78" s="8"/>
      <c r="F78" s="2"/>
      <c r="G78" s="137" t="s">
        <v>441</v>
      </c>
      <c r="H78" s="2"/>
      <c r="I78" s="31" t="s">
        <v>321</v>
      </c>
      <c r="J78" s="2" t="s">
        <v>322</v>
      </c>
    </row>
    <row r="79" spans="1:14" ht="18" customHeight="1" x14ac:dyDescent="0.35">
      <c r="A79" s="2" t="s">
        <v>463</v>
      </c>
      <c r="E79" s="8"/>
      <c r="F79" s="2"/>
      <c r="G79" s="2"/>
      <c r="H79" s="2"/>
      <c r="I79" s="15"/>
      <c r="J79" s="55" t="s">
        <v>425</v>
      </c>
    </row>
    <row r="80" spans="1:14" ht="18" customHeight="1" x14ac:dyDescent="0.35">
      <c r="A80" s="2" t="s">
        <v>134</v>
      </c>
      <c r="E80" s="8"/>
      <c r="F80" s="2"/>
      <c r="G80" s="2"/>
      <c r="H80" s="2"/>
      <c r="I80" s="15"/>
      <c r="J80" s="55"/>
      <c r="K80" s="125"/>
      <c r="L80" s="125"/>
      <c r="M80" s="125"/>
      <c r="N80" s="125"/>
    </row>
    <row r="81" spans="1:11" ht="18" customHeight="1" x14ac:dyDescent="0.35">
      <c r="A81" s="2" t="s">
        <v>137</v>
      </c>
      <c r="E81" s="8"/>
      <c r="F81" s="2"/>
      <c r="G81" s="2"/>
      <c r="H81" s="2"/>
      <c r="I81" s="15"/>
      <c r="J81" s="55"/>
    </row>
    <row r="82" spans="1:11" ht="18" customHeight="1" x14ac:dyDescent="0.35">
      <c r="E82" s="8"/>
      <c r="F82" s="2"/>
      <c r="G82" s="2"/>
      <c r="H82" s="2"/>
      <c r="I82" s="15"/>
      <c r="K82" s="14"/>
    </row>
    <row r="83" spans="1:11" s="86" customFormat="1" ht="18" customHeight="1" x14ac:dyDescent="0.35">
      <c r="C83" s="48"/>
      <c r="D83" s="48"/>
      <c r="E83" s="48"/>
      <c r="I83" s="83"/>
    </row>
    <row r="84" spans="1:11" ht="18" customHeight="1" x14ac:dyDescent="0.35">
      <c r="A84" s="137" t="s">
        <v>138</v>
      </c>
      <c r="E84" s="8"/>
      <c r="F84" s="2"/>
      <c r="G84" s="137" t="s">
        <v>441</v>
      </c>
      <c r="H84" s="2"/>
      <c r="I84" s="15" t="s">
        <v>108</v>
      </c>
      <c r="J84" s="2" t="s">
        <v>464</v>
      </c>
    </row>
    <row r="85" spans="1:11" ht="18" customHeight="1" x14ac:dyDescent="0.35">
      <c r="E85" s="8"/>
      <c r="F85" s="2"/>
      <c r="G85" s="2"/>
      <c r="H85" s="2"/>
      <c r="I85" s="15"/>
      <c r="K85" s="8"/>
    </row>
    <row r="86" spans="1:11" s="86" customFormat="1" ht="18" customHeight="1" x14ac:dyDescent="0.35">
      <c r="C86" s="48"/>
      <c r="D86" s="48"/>
      <c r="E86" s="48"/>
      <c r="I86" s="83"/>
    </row>
    <row r="87" spans="1:11" ht="18" customHeight="1" x14ac:dyDescent="0.35">
      <c r="E87" s="8"/>
      <c r="F87" s="2"/>
      <c r="G87" s="2"/>
      <c r="H87" s="2"/>
      <c r="I87" s="15"/>
    </row>
    <row r="88" spans="1:11" ht="18" customHeight="1" x14ac:dyDescent="0.35">
      <c r="A88" s="6" t="s">
        <v>465</v>
      </c>
      <c r="E88" s="8"/>
      <c r="F88" s="2"/>
      <c r="G88" s="2"/>
      <c r="H88" s="2"/>
      <c r="I88" s="15"/>
    </row>
    <row r="89" spans="1:11" ht="18" customHeight="1" x14ac:dyDescent="0.35">
      <c r="E89" s="8"/>
      <c r="F89" s="2"/>
      <c r="G89" s="2"/>
      <c r="H89" s="2"/>
      <c r="I89" s="15"/>
    </row>
    <row r="90" spans="1:11" ht="18" customHeight="1" x14ac:dyDescent="0.35">
      <c r="A90" s="154" t="s">
        <v>224</v>
      </c>
      <c r="C90" s="36" t="s">
        <v>427</v>
      </c>
      <c r="E90" s="8"/>
      <c r="F90" s="2"/>
      <c r="G90" s="2"/>
      <c r="H90" s="2"/>
      <c r="I90" s="15"/>
    </row>
    <row r="91" spans="1:11" ht="18" customHeight="1" x14ac:dyDescent="0.35">
      <c r="E91" s="8"/>
      <c r="F91" s="2"/>
      <c r="G91" s="2"/>
      <c r="H91" s="2"/>
      <c r="I91" s="15"/>
    </row>
    <row r="92" spans="1:11" ht="18" customHeight="1" thickBot="1" x14ac:dyDescent="0.4">
      <c r="A92" s="2" t="s">
        <v>225</v>
      </c>
      <c r="C92" s="205" t="s">
        <v>3</v>
      </c>
      <c r="E92" s="8"/>
      <c r="F92" s="2"/>
      <c r="G92" s="2"/>
      <c r="H92" s="2"/>
      <c r="I92" s="15"/>
    </row>
    <row r="93" spans="1:11" ht="18" customHeight="1" x14ac:dyDescent="0.35">
      <c r="A93" s="2" t="s">
        <v>226</v>
      </c>
      <c r="C93" s="206"/>
      <c r="E93" s="8"/>
      <c r="F93" s="2"/>
      <c r="G93" s="2"/>
      <c r="H93" s="2"/>
      <c r="I93" s="15"/>
    </row>
    <row r="94" spans="1:11" ht="18" customHeight="1" x14ac:dyDescent="0.35">
      <c r="A94" s="2" t="s">
        <v>246</v>
      </c>
      <c r="C94" s="207"/>
      <c r="E94" s="8"/>
      <c r="F94" s="2"/>
      <c r="G94" s="2"/>
      <c r="H94" s="2"/>
      <c r="I94" s="15"/>
    </row>
    <row r="95" spans="1:11" ht="18" customHeight="1" x14ac:dyDescent="0.35">
      <c r="A95" s="2" t="s">
        <v>227</v>
      </c>
      <c r="C95" s="208"/>
      <c r="E95" s="8"/>
      <c r="F95" s="2"/>
      <c r="G95" s="2"/>
      <c r="H95" s="2"/>
      <c r="I95" s="15"/>
    </row>
    <row r="96" spans="1:11" ht="18" customHeight="1" x14ac:dyDescent="0.35">
      <c r="C96" s="209"/>
      <c r="E96" s="8"/>
      <c r="F96" s="2"/>
      <c r="G96" s="2"/>
      <c r="H96" s="2"/>
      <c r="I96" s="15"/>
    </row>
    <row r="97" spans="1:9" ht="18" customHeight="1" x14ac:dyDescent="0.35">
      <c r="A97" s="2" t="s">
        <v>228</v>
      </c>
      <c r="C97" s="210" t="s">
        <v>24</v>
      </c>
      <c r="D97" s="8" t="s">
        <v>466</v>
      </c>
      <c r="E97" s="8"/>
      <c r="F97" s="2"/>
      <c r="G97" s="2"/>
      <c r="H97" s="2"/>
      <c r="I97" s="15" t="s">
        <v>468</v>
      </c>
    </row>
    <row r="98" spans="1:9" ht="18" customHeight="1" x14ac:dyDescent="0.35">
      <c r="A98" s="2" t="s">
        <v>229</v>
      </c>
      <c r="C98" s="210" t="s">
        <v>24</v>
      </c>
      <c r="D98" s="8" t="s">
        <v>466</v>
      </c>
      <c r="E98" s="8"/>
      <c r="F98" s="2"/>
      <c r="G98" s="2"/>
      <c r="H98" s="2"/>
      <c r="I98" s="15" t="s">
        <v>243</v>
      </c>
    </row>
    <row r="99" spans="1:9" ht="18" customHeight="1" x14ac:dyDescent="0.35">
      <c r="A99" s="2" t="s">
        <v>230</v>
      </c>
      <c r="C99" s="211" t="s">
        <v>24</v>
      </c>
      <c r="E99" s="8"/>
      <c r="F99" s="2"/>
      <c r="G99" s="2"/>
      <c r="H99" s="2"/>
      <c r="I99" s="15" t="s">
        <v>231</v>
      </c>
    </row>
    <row r="100" spans="1:9" ht="18" customHeight="1" x14ac:dyDescent="0.35">
      <c r="A100" s="2" t="s">
        <v>232</v>
      </c>
      <c r="C100" s="211" t="s">
        <v>24</v>
      </c>
      <c r="D100" s="8" t="s">
        <v>247</v>
      </c>
      <c r="E100" s="8"/>
      <c r="F100" s="2"/>
      <c r="G100" s="2"/>
      <c r="H100" s="2"/>
      <c r="I100" s="15" t="s">
        <v>325</v>
      </c>
    </row>
    <row r="101" spans="1:9" ht="18" customHeight="1" x14ac:dyDescent="0.35">
      <c r="A101" s="2" t="s">
        <v>233</v>
      </c>
      <c r="C101" s="211" t="s">
        <v>24</v>
      </c>
      <c r="D101" s="8" t="s">
        <v>234</v>
      </c>
      <c r="E101" s="8"/>
      <c r="F101" s="2"/>
      <c r="G101" s="2"/>
      <c r="H101" s="2"/>
      <c r="I101" s="15" t="s">
        <v>324</v>
      </c>
    </row>
    <row r="102" spans="1:9" ht="18" customHeight="1" x14ac:dyDescent="0.35">
      <c r="A102" s="2" t="s">
        <v>235</v>
      </c>
      <c r="C102" s="211" t="s">
        <v>24</v>
      </c>
      <c r="D102" s="8" t="s">
        <v>236</v>
      </c>
      <c r="E102" s="8"/>
      <c r="F102" s="2"/>
      <c r="G102" s="2"/>
      <c r="H102" s="2"/>
      <c r="I102" s="15" t="s">
        <v>326</v>
      </c>
    </row>
    <row r="103" spans="1:9" ht="18" customHeight="1" x14ac:dyDescent="0.35">
      <c r="C103"/>
      <c r="E103" s="8"/>
      <c r="F103" s="2"/>
      <c r="G103" s="2"/>
      <c r="H103" s="2"/>
      <c r="I103" s="15"/>
    </row>
    <row r="104" spans="1:9" ht="18" customHeight="1" thickBot="1" x14ac:dyDescent="0.4">
      <c r="C104" s="212">
        <f>SUM(C97:C102)</f>
        <v>0</v>
      </c>
      <c r="D104" s="8" t="s">
        <v>323</v>
      </c>
      <c r="E104" s="8"/>
      <c r="F104" s="2"/>
      <c r="G104" s="2"/>
      <c r="H104" s="2"/>
      <c r="I104" s="15"/>
    </row>
    <row r="105" spans="1:9" ht="18" customHeight="1" thickTop="1" x14ac:dyDescent="0.35">
      <c r="E105" s="8"/>
      <c r="F105" s="2"/>
      <c r="G105" s="2"/>
      <c r="H105" s="2"/>
      <c r="I105" s="15"/>
    </row>
    <row r="106" spans="1:9" ht="18" customHeight="1" thickBot="1" x14ac:dyDescent="0.4">
      <c r="A106" s="2" t="s">
        <v>240</v>
      </c>
      <c r="C106" s="213"/>
      <c r="E106" s="8"/>
      <c r="F106" s="2"/>
      <c r="G106" s="2"/>
      <c r="H106" s="2"/>
      <c r="I106" s="15" t="s">
        <v>467</v>
      </c>
    </row>
    <row r="107" spans="1:9" ht="18" customHeight="1" x14ac:dyDescent="0.35">
      <c r="A107" s="2" t="s">
        <v>241</v>
      </c>
      <c r="C107" s="206"/>
      <c r="E107" s="8"/>
      <c r="F107" s="2"/>
      <c r="G107" s="2"/>
      <c r="H107" s="2"/>
      <c r="I107" s="15"/>
    </row>
    <row r="108" spans="1:9" ht="18" customHeight="1" x14ac:dyDescent="0.35">
      <c r="E108" s="8"/>
      <c r="F108" s="2"/>
      <c r="G108" s="2"/>
      <c r="H108" s="2"/>
      <c r="I108" s="15"/>
    </row>
    <row r="109" spans="1:9" ht="18" customHeight="1" x14ac:dyDescent="0.35">
      <c r="A109" s="18" t="s">
        <v>242</v>
      </c>
      <c r="E109" s="8"/>
      <c r="F109" s="2"/>
      <c r="G109" s="2"/>
      <c r="H109" s="2"/>
      <c r="I109" s="15"/>
    </row>
    <row r="110" spans="1:9" ht="18" customHeight="1" x14ac:dyDescent="0.35">
      <c r="E110" s="8"/>
      <c r="F110" s="2"/>
      <c r="G110" s="2"/>
      <c r="H110" s="2"/>
      <c r="I110" s="15"/>
    </row>
    <row r="111" spans="1:9" ht="18" customHeight="1" thickBot="1" x14ac:dyDescent="0.4">
      <c r="A111" s="2" t="s">
        <v>225</v>
      </c>
      <c r="C111" s="205" t="s">
        <v>3</v>
      </c>
      <c r="E111" s="8"/>
      <c r="F111" s="2"/>
      <c r="G111" s="2"/>
      <c r="H111" s="2"/>
      <c r="I111" s="15"/>
    </row>
    <row r="112" spans="1:9" ht="18" customHeight="1" x14ac:dyDescent="0.35">
      <c r="A112" s="2" t="s">
        <v>226</v>
      </c>
      <c r="C112" s="206"/>
      <c r="E112" s="8"/>
      <c r="F112" s="2"/>
      <c r="G112" s="2"/>
      <c r="H112" s="2"/>
      <c r="I112" s="15"/>
    </row>
    <row r="113" spans="1:9" ht="18" customHeight="1" x14ac:dyDescent="0.35">
      <c r="A113" s="2" t="s">
        <v>246</v>
      </c>
      <c r="C113" s="207"/>
      <c r="E113" s="8"/>
      <c r="F113" s="2"/>
      <c r="G113" s="2"/>
      <c r="H113" s="2"/>
      <c r="I113" s="15"/>
    </row>
    <row r="114" spans="1:9" ht="18" customHeight="1" x14ac:dyDescent="0.35">
      <c r="A114" s="2" t="s">
        <v>227</v>
      </c>
      <c r="C114" s="208"/>
      <c r="E114" s="8"/>
      <c r="F114" s="2"/>
      <c r="G114" s="2"/>
      <c r="H114" s="2"/>
      <c r="I114" s="15"/>
    </row>
    <row r="115" spans="1:9" ht="18" customHeight="1" x14ac:dyDescent="0.35">
      <c r="C115" s="209"/>
      <c r="E115" s="8"/>
      <c r="F115" s="2"/>
      <c r="G115" s="2"/>
      <c r="H115" s="2"/>
      <c r="I115" s="15"/>
    </row>
    <row r="116" spans="1:9" ht="18" customHeight="1" x14ac:dyDescent="0.35">
      <c r="A116" s="2" t="s">
        <v>228</v>
      </c>
      <c r="C116" s="210" t="s">
        <v>24</v>
      </c>
      <c r="D116" s="8" t="s">
        <v>466</v>
      </c>
      <c r="E116" s="8"/>
      <c r="F116" s="2"/>
      <c r="G116" s="2"/>
      <c r="H116" s="2"/>
      <c r="I116" s="15" t="s">
        <v>468</v>
      </c>
    </row>
    <row r="117" spans="1:9" ht="18" customHeight="1" x14ac:dyDescent="0.35">
      <c r="A117" s="2" t="s">
        <v>229</v>
      </c>
      <c r="C117" s="210" t="s">
        <v>24</v>
      </c>
      <c r="D117" s="8" t="s">
        <v>466</v>
      </c>
      <c r="E117" s="8"/>
      <c r="F117" s="2"/>
      <c r="G117" s="2"/>
      <c r="H117" s="2"/>
      <c r="I117" s="15" t="s">
        <v>243</v>
      </c>
    </row>
    <row r="118" spans="1:9" ht="18" customHeight="1" x14ac:dyDescent="0.35">
      <c r="A118" s="2" t="s">
        <v>230</v>
      </c>
      <c r="C118" s="211" t="s">
        <v>24</v>
      </c>
      <c r="E118" s="8"/>
      <c r="F118" s="2"/>
      <c r="G118" s="2"/>
      <c r="H118" s="2"/>
      <c r="I118" s="15" t="s">
        <v>231</v>
      </c>
    </row>
    <row r="119" spans="1:9" ht="18" customHeight="1" x14ac:dyDescent="0.35">
      <c r="A119" s="2" t="s">
        <v>232</v>
      </c>
      <c r="C119" s="211" t="s">
        <v>24</v>
      </c>
      <c r="D119" s="8" t="s">
        <v>247</v>
      </c>
      <c r="E119" s="8"/>
      <c r="F119" s="2"/>
      <c r="G119" s="2"/>
      <c r="H119" s="2"/>
      <c r="I119" s="15" t="s">
        <v>325</v>
      </c>
    </row>
    <row r="120" spans="1:9" ht="18" customHeight="1" x14ac:dyDescent="0.35">
      <c r="A120" s="2" t="s">
        <v>233</v>
      </c>
      <c r="C120" s="211" t="s">
        <v>24</v>
      </c>
      <c r="D120" s="8" t="s">
        <v>234</v>
      </c>
      <c r="E120" s="8"/>
      <c r="F120" s="2"/>
      <c r="G120" s="2"/>
      <c r="H120" s="2"/>
      <c r="I120" s="15" t="s">
        <v>324</v>
      </c>
    </row>
    <row r="121" spans="1:9" ht="18" customHeight="1" x14ac:dyDescent="0.35">
      <c r="A121" s="2" t="s">
        <v>235</v>
      </c>
      <c r="C121" s="211" t="s">
        <v>24</v>
      </c>
      <c r="D121" s="8" t="s">
        <v>236</v>
      </c>
      <c r="E121" s="8"/>
      <c r="F121" s="2"/>
      <c r="G121" s="2"/>
      <c r="H121" s="2"/>
      <c r="I121" s="15" t="s">
        <v>326</v>
      </c>
    </row>
    <row r="122" spans="1:9" ht="18" customHeight="1" x14ac:dyDescent="0.35">
      <c r="C122"/>
      <c r="E122" s="8"/>
      <c r="F122" s="2"/>
      <c r="G122" s="2"/>
      <c r="H122" s="2"/>
      <c r="I122" s="15"/>
    </row>
    <row r="123" spans="1:9" ht="18" customHeight="1" thickBot="1" x14ac:dyDescent="0.4">
      <c r="C123" s="212">
        <f>SUM(C116:C121)</f>
        <v>0</v>
      </c>
      <c r="D123" s="8" t="s">
        <v>323</v>
      </c>
      <c r="E123" s="8"/>
      <c r="F123" s="2"/>
      <c r="G123" s="2"/>
      <c r="H123" s="2"/>
      <c r="I123" s="15"/>
    </row>
    <row r="124" spans="1:9" ht="18" customHeight="1" thickTop="1" x14ac:dyDescent="0.35">
      <c r="E124" s="8"/>
      <c r="F124" s="2"/>
      <c r="G124" s="2"/>
      <c r="H124" s="2"/>
      <c r="I124" s="15"/>
    </row>
    <row r="125" spans="1:9" ht="18" customHeight="1" thickBot="1" x14ac:dyDescent="0.4">
      <c r="A125" s="2" t="s">
        <v>240</v>
      </c>
      <c r="C125" s="213"/>
      <c r="E125" s="8"/>
      <c r="F125" s="2"/>
      <c r="G125" s="2"/>
      <c r="H125" s="2"/>
      <c r="I125" s="15" t="s">
        <v>467</v>
      </c>
    </row>
    <row r="126" spans="1:9" ht="18" customHeight="1" x14ac:dyDescent="0.35">
      <c r="A126" s="2" t="s">
        <v>241</v>
      </c>
      <c r="C126" s="206"/>
      <c r="E126" s="8"/>
      <c r="F126" s="2"/>
      <c r="G126" s="2"/>
      <c r="H126" s="2"/>
      <c r="I126" s="15"/>
    </row>
    <row r="127" spans="1:9" ht="18" customHeight="1" x14ac:dyDescent="0.35">
      <c r="E127" s="8"/>
      <c r="F127" s="2"/>
      <c r="G127" s="2"/>
      <c r="H127" s="2"/>
      <c r="I127" s="15"/>
    </row>
    <row r="128" spans="1:9" ht="18" customHeight="1" x14ac:dyDescent="0.35">
      <c r="A128" s="2" t="s">
        <v>245</v>
      </c>
      <c r="D128" s="155" t="s">
        <v>381</v>
      </c>
      <c r="E128" s="8"/>
      <c r="F128" s="2"/>
      <c r="G128" s="2"/>
      <c r="H128" s="2"/>
      <c r="I128" s="15"/>
    </row>
    <row r="129" spans="1:9" ht="18" customHeight="1" x14ac:dyDescent="0.35">
      <c r="A129" s="2" t="s">
        <v>244</v>
      </c>
      <c r="E129" s="214"/>
      <c r="F129" s="214"/>
      <c r="G129" s="214"/>
      <c r="H129" s="2"/>
      <c r="I129" s="15"/>
    </row>
    <row r="130" spans="1:9" ht="18" customHeight="1" x14ac:dyDescent="0.35"/>
    <row r="131" spans="1:9" ht="18" customHeight="1" x14ac:dyDescent="0.35">
      <c r="A131" s="261" t="s">
        <v>533</v>
      </c>
      <c r="B131" s="261"/>
      <c r="C131" s="261"/>
      <c r="D131" s="261"/>
      <c r="E131" s="261"/>
      <c r="F131" s="261"/>
      <c r="G131" s="261"/>
    </row>
    <row r="132" spans="1:9" ht="18" customHeight="1" x14ac:dyDescent="0.35">
      <c r="A132" s="261"/>
      <c r="B132" s="261"/>
      <c r="C132" s="261"/>
      <c r="D132" s="261"/>
      <c r="E132" s="261"/>
      <c r="F132" s="261"/>
      <c r="G132" s="261"/>
    </row>
    <row r="133" spans="1:9" ht="18" customHeight="1" x14ac:dyDescent="0.35">
      <c r="A133" s="261"/>
      <c r="B133" s="261"/>
      <c r="C133" s="261"/>
      <c r="D133" s="261"/>
      <c r="E133" s="261"/>
      <c r="F133" s="261"/>
      <c r="G133" s="261"/>
    </row>
    <row r="134" spans="1:9" ht="18" customHeight="1" x14ac:dyDescent="0.35"/>
    <row r="135" spans="1:9" ht="18" customHeight="1" x14ac:dyDescent="0.35"/>
    <row r="136" spans="1:9" ht="18" customHeight="1" x14ac:dyDescent="0.35"/>
    <row r="137" spans="1:9" ht="18" customHeight="1" x14ac:dyDescent="0.35"/>
    <row r="138" spans="1:9" ht="18" customHeight="1" x14ac:dyDescent="0.35"/>
    <row r="139" spans="1:9" ht="18" customHeight="1" x14ac:dyDescent="0.35"/>
    <row r="140" spans="1:9" ht="18" customHeight="1" x14ac:dyDescent="0.35"/>
    <row r="141" spans="1:9" ht="18" customHeight="1" x14ac:dyDescent="0.35"/>
    <row r="142" spans="1:9" ht="18" customHeight="1" x14ac:dyDescent="0.35"/>
    <row r="143" spans="1:9" ht="18" customHeight="1" x14ac:dyDescent="0.35"/>
    <row r="144" spans="1:9"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sheetProtection selectLockedCells="1"/>
  <mergeCells count="1">
    <mergeCell ref="A131:G133"/>
  </mergeCells>
  <dataValidations count="2">
    <dataValidation type="list" allowBlank="1" showInputMessage="1" showErrorMessage="1" error="Choose from the provided list" sqref="C16" xr:uid="{00000000-0002-0000-0400-000001000000}">
      <formula1>YesNo2</formula1>
    </dataValidation>
    <dataValidation type="list" allowBlank="1" showInputMessage="1" showErrorMessage="1" error="Choose from the list provided" sqref="D128" xr:uid="{00000000-0002-0000-0400-000003000000}">
      <formula1>YesNo.</formula1>
    </dataValidation>
  </dataValidations>
  <hyperlinks>
    <hyperlink ref="J72" r:id="rId1" xr:uid="{00000000-0004-0000-0400-000000000000}"/>
  </hyperlinks>
  <pageMargins left="0.75" right="0.75" top="1" bottom="1" header="0.5" footer="0.5"/>
  <pageSetup paperSize="9" orientation="portrait" horizontalDpi="4294967292" verticalDpi="4294967292"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FA37-F286-41AB-B428-46A75F6772A5}">
  <sheetPr>
    <tabColor rgb="FF92D050"/>
    <pageSetUpPr fitToPage="1"/>
  </sheetPr>
  <dimension ref="A1:R377"/>
  <sheetViews>
    <sheetView showGridLines="0" zoomScale="70" zoomScaleNormal="70" workbookViewId="0">
      <pane ySplit="3" topLeftCell="A4" activePane="bottomLeft" state="frozen"/>
      <selection activeCell="A363" sqref="A363"/>
      <selection pane="bottomLeft" activeCell="A3" sqref="A3"/>
    </sheetView>
  </sheetViews>
  <sheetFormatPr defaultColWidth="8.81640625" defaultRowHeight="15.5" x14ac:dyDescent="0.35"/>
  <cols>
    <col min="1" max="1" width="34.453125" style="2" customWidth="1"/>
    <col min="2" max="2" width="4.26953125" style="2" customWidth="1"/>
    <col min="3" max="3" width="17.81640625" style="8" customWidth="1"/>
    <col min="4" max="4" width="15.54296875" style="8" customWidth="1"/>
    <col min="5" max="5" width="13.26953125" style="8" customWidth="1"/>
    <col min="6" max="6" width="3.453125" style="2" customWidth="1"/>
    <col min="7" max="7" width="15.81640625" customWidth="1"/>
    <col min="8" max="8" width="4.453125" customWidth="1"/>
    <col min="9" max="9" width="16" customWidth="1"/>
    <col min="10" max="10" width="17.1796875" style="2" customWidth="1"/>
    <col min="11" max="16384" width="8.81640625" style="2"/>
  </cols>
  <sheetData>
    <row r="1" spans="1:18" s="6" customFormat="1" ht="18" customHeight="1" x14ac:dyDescent="0.35">
      <c r="A1" s="6" t="s">
        <v>106</v>
      </c>
      <c r="B1" s="140" t="s">
        <v>514</v>
      </c>
      <c r="C1" s="189"/>
      <c r="D1" s="189"/>
      <c r="E1" s="189"/>
      <c r="F1" s="189"/>
      <c r="G1" s="189"/>
      <c r="H1" s="189"/>
      <c r="I1" s="189"/>
      <c r="J1" s="189"/>
      <c r="K1" s="189"/>
      <c r="L1" s="140"/>
      <c r="M1"/>
      <c r="N1"/>
      <c r="O1"/>
    </row>
    <row r="2" spans="1:18" s="6" customFormat="1" ht="18" customHeight="1" x14ac:dyDescent="0.35">
      <c r="B2" s="106"/>
      <c r="C2" s="127"/>
      <c r="D2" s="127"/>
      <c r="E2" s="127"/>
      <c r="F2" s="183"/>
      <c r="G2" s="183"/>
      <c r="H2" s="183"/>
      <c r="I2" s="47"/>
      <c r="J2" s="183"/>
      <c r="K2" s="183"/>
      <c r="L2" s="183"/>
      <c r="M2" s="183"/>
      <c r="N2" s="183"/>
      <c r="O2" s="183"/>
    </row>
    <row r="3" spans="1:18" s="6" customFormat="1" ht="18" customHeight="1" x14ac:dyDescent="0.35">
      <c r="B3" s="106" t="s">
        <v>387</v>
      </c>
      <c r="C3" s="127"/>
      <c r="D3" s="127"/>
      <c r="E3" s="127"/>
      <c r="F3" s="183"/>
      <c r="G3" s="183"/>
      <c r="H3" s="183"/>
      <c r="I3" s="47"/>
      <c r="J3" s="183"/>
      <c r="K3" s="183"/>
      <c r="L3" s="183"/>
      <c r="M3" s="183"/>
      <c r="N3" s="183"/>
      <c r="O3" s="183"/>
    </row>
    <row r="4" spans="1:18" s="6" customFormat="1" ht="18" customHeight="1" x14ac:dyDescent="0.35">
      <c r="A4"/>
      <c r="B4"/>
      <c r="C4"/>
      <c r="D4"/>
      <c r="E4"/>
      <c r="F4"/>
      <c r="G4"/>
      <c r="H4"/>
      <c r="I4"/>
      <c r="J4"/>
      <c r="K4"/>
      <c r="L4"/>
      <c r="M4"/>
      <c r="N4"/>
      <c r="O4"/>
      <c r="P4"/>
      <c r="Q4"/>
      <c r="R4"/>
    </row>
    <row r="5" spans="1:18" ht="18" customHeight="1" thickBot="1" x14ac:dyDescent="0.4">
      <c r="A5" s="191" t="s">
        <v>431</v>
      </c>
      <c r="B5" s="191"/>
      <c r="C5" s="191"/>
      <c r="D5" s="191"/>
      <c r="E5" s="192"/>
      <c r="F5" s="192"/>
      <c r="G5" s="192"/>
      <c r="J5"/>
    </row>
    <row r="6" spans="1:18" ht="18" customHeight="1" x14ac:dyDescent="0.35">
      <c r="B6" s="44"/>
      <c r="C6" s="193"/>
      <c r="D6" s="193"/>
      <c r="E6" s="193"/>
      <c r="F6" s="194"/>
      <c r="G6" s="194"/>
      <c r="J6"/>
    </row>
    <row r="7" spans="1:18" ht="18" customHeight="1" x14ac:dyDescent="0.35">
      <c r="A7" s="137" t="s">
        <v>107</v>
      </c>
      <c r="B7" s="138"/>
      <c r="C7" s="24"/>
      <c r="D7" s="24"/>
      <c r="E7" s="25"/>
      <c r="G7" s="2"/>
      <c r="H7" s="2"/>
      <c r="I7" s="14"/>
      <c r="J7" s="132"/>
      <c r="K7" s="132"/>
      <c r="L7" s="132"/>
      <c r="M7" s="132"/>
      <c r="N7" s="132"/>
      <c r="O7" s="132"/>
      <c r="P7" s="132"/>
      <c r="Q7" s="132"/>
      <c r="R7" s="132"/>
    </row>
    <row r="8" spans="1:18" ht="18" customHeight="1" x14ac:dyDescent="0.35">
      <c r="A8" s="29" t="s">
        <v>110</v>
      </c>
      <c r="B8" s="29"/>
      <c r="C8" s="24"/>
      <c r="D8" s="24"/>
      <c r="E8" s="25"/>
      <c r="G8" s="137" t="s">
        <v>441</v>
      </c>
      <c r="H8" s="2"/>
      <c r="I8" s="15" t="s">
        <v>108</v>
      </c>
      <c r="J8" s="2" t="s">
        <v>109</v>
      </c>
    </row>
    <row r="9" spans="1:18" ht="18" customHeight="1" x14ac:dyDescent="0.35">
      <c r="A9" s="41" t="s">
        <v>217</v>
      </c>
      <c r="B9" s="41"/>
      <c r="C9" s="195"/>
      <c r="D9" s="195"/>
      <c r="G9" s="2"/>
      <c r="H9" s="2"/>
      <c r="I9" s="15"/>
      <c r="J9" s="2" t="s">
        <v>112</v>
      </c>
    </row>
    <row r="10" spans="1:18" ht="18" customHeight="1" x14ac:dyDescent="0.35">
      <c r="A10" s="42" t="s">
        <v>3</v>
      </c>
      <c r="B10" s="43"/>
      <c r="C10" s="196"/>
      <c r="D10" s="196"/>
      <c r="G10" s="2"/>
      <c r="H10" s="2"/>
      <c r="I10" s="15"/>
      <c r="J10" s="18"/>
    </row>
    <row r="11" spans="1:18" ht="18" customHeight="1" x14ac:dyDescent="0.35">
      <c r="A11" s="42"/>
      <c r="B11" s="43"/>
      <c r="C11" s="196"/>
      <c r="D11" s="196"/>
      <c r="G11" s="2"/>
      <c r="H11" s="2"/>
      <c r="I11" s="15"/>
      <c r="J11" s="135"/>
      <c r="K11" s="14"/>
      <c r="L11" s="14"/>
      <c r="M11" s="14"/>
      <c r="N11" s="14"/>
    </row>
    <row r="12" spans="1:18" s="125" customFormat="1" ht="18" customHeight="1" x14ac:dyDescent="0.35">
      <c r="A12" s="87" t="s">
        <v>3</v>
      </c>
      <c r="B12" s="87"/>
      <c r="C12" s="197"/>
      <c r="D12" s="197"/>
      <c r="E12" s="126"/>
      <c r="I12" s="198"/>
      <c r="J12" s="132"/>
    </row>
    <row r="13" spans="1:18" ht="18" customHeight="1" x14ac:dyDescent="0.35">
      <c r="A13" s="2" t="s">
        <v>111</v>
      </c>
      <c r="G13" s="2"/>
      <c r="H13" s="2"/>
      <c r="I13" s="15" t="s">
        <v>108</v>
      </c>
      <c r="J13" s="2" t="s">
        <v>303</v>
      </c>
    </row>
    <row r="14" spans="1:18" ht="18" customHeight="1" thickBot="1" x14ac:dyDescent="0.4">
      <c r="A14" s="2" t="s">
        <v>219</v>
      </c>
      <c r="C14" s="199" t="s">
        <v>3</v>
      </c>
      <c r="G14" s="2"/>
      <c r="H14" s="2"/>
      <c r="I14" s="15"/>
      <c r="J14" s="2" t="s">
        <v>151</v>
      </c>
    </row>
    <row r="15" spans="1:18" ht="18" customHeight="1" thickBot="1" x14ac:dyDescent="0.4">
      <c r="A15" s="2" t="s">
        <v>220</v>
      </c>
      <c r="C15" s="187"/>
      <c r="G15" s="2"/>
      <c r="H15" s="2"/>
      <c r="I15" s="15"/>
      <c r="J15" s="2" t="s">
        <v>453</v>
      </c>
    </row>
    <row r="16" spans="1:18" ht="18" customHeight="1" x14ac:dyDescent="0.35">
      <c r="A16" s="2" t="s">
        <v>218</v>
      </c>
      <c r="C16" s="8" t="s">
        <v>382</v>
      </c>
      <c r="G16" s="2"/>
      <c r="H16" s="2"/>
      <c r="I16" s="15"/>
      <c r="J16" s="2" t="s">
        <v>3</v>
      </c>
      <c r="K16" s="14"/>
      <c r="L16" s="14"/>
      <c r="M16" s="14"/>
      <c r="N16" s="14"/>
    </row>
    <row r="17" spans="1:14" ht="18" customHeight="1" thickBot="1" x14ac:dyDescent="0.4">
      <c r="A17" s="2" t="s">
        <v>221</v>
      </c>
      <c r="C17" s="200" t="s">
        <v>222</v>
      </c>
      <c r="G17" s="2"/>
      <c r="H17" s="2"/>
      <c r="I17" s="15"/>
    </row>
    <row r="18" spans="1:14" ht="18" customHeight="1" x14ac:dyDescent="0.35">
      <c r="G18" s="2"/>
      <c r="H18" s="2"/>
      <c r="I18" s="15"/>
    </row>
    <row r="19" spans="1:14" ht="18" customHeight="1" x14ac:dyDescent="0.35">
      <c r="A19" s="2" t="s">
        <v>150</v>
      </c>
      <c r="C19" s="201" t="s">
        <v>223</v>
      </c>
      <c r="D19" s="202"/>
      <c r="G19" s="2"/>
      <c r="H19" s="2"/>
      <c r="I19" s="15" t="s">
        <v>108</v>
      </c>
      <c r="J19" s="2" t="s">
        <v>454</v>
      </c>
    </row>
    <row r="20" spans="1:14" ht="18" customHeight="1" x14ac:dyDescent="0.35">
      <c r="G20" s="2"/>
      <c r="H20" s="2"/>
      <c r="I20" s="15"/>
      <c r="J20" s="2" t="s">
        <v>455</v>
      </c>
    </row>
    <row r="21" spans="1:14" ht="18" customHeight="1" x14ac:dyDescent="0.35">
      <c r="G21" s="2"/>
      <c r="H21" s="2"/>
      <c r="I21" s="15"/>
      <c r="J21" s="2" t="s">
        <v>456</v>
      </c>
    </row>
    <row r="22" spans="1:14" ht="18" customHeight="1" x14ac:dyDescent="0.35">
      <c r="G22" s="2"/>
      <c r="H22" s="2"/>
      <c r="I22" s="15"/>
    </row>
    <row r="23" spans="1:14" s="86" customFormat="1" ht="18" customHeight="1" x14ac:dyDescent="0.35">
      <c r="C23" s="48"/>
      <c r="D23" s="48"/>
      <c r="E23" s="48"/>
      <c r="I23" s="83"/>
    </row>
    <row r="24" spans="1:14" ht="18" customHeight="1" x14ac:dyDescent="0.35">
      <c r="A24" s="137" t="s">
        <v>113</v>
      </c>
      <c r="B24" s="140"/>
      <c r="C24" s="186"/>
      <c r="G24" s="137" t="s">
        <v>441</v>
      </c>
      <c r="H24" s="2"/>
      <c r="I24" s="15" t="s">
        <v>108</v>
      </c>
      <c r="J24" s="2" t="s">
        <v>114</v>
      </c>
    </row>
    <row r="25" spans="1:14" ht="18" customHeight="1" x14ac:dyDescent="0.35">
      <c r="A25" s="2" t="s">
        <v>115</v>
      </c>
      <c r="E25" s="137" t="s">
        <v>441</v>
      </c>
      <c r="G25" s="2"/>
      <c r="H25" s="2"/>
      <c r="I25" s="15"/>
      <c r="J25" s="2" t="s">
        <v>457</v>
      </c>
    </row>
    <row r="26" spans="1:14" ht="18" customHeight="1" x14ac:dyDescent="0.35">
      <c r="A26" s="2" t="s">
        <v>175</v>
      </c>
      <c r="G26" s="2"/>
      <c r="H26" s="2"/>
      <c r="I26" s="15"/>
      <c r="J26" s="2" t="s">
        <v>152</v>
      </c>
    </row>
    <row r="27" spans="1:14" ht="18" customHeight="1" x14ac:dyDescent="0.35">
      <c r="A27" s="2" t="s">
        <v>237</v>
      </c>
      <c r="G27" s="2"/>
      <c r="H27" s="2"/>
      <c r="I27" s="15"/>
      <c r="J27"/>
      <c r="K27" s="125"/>
      <c r="L27" s="125"/>
      <c r="M27" s="125"/>
      <c r="N27" s="125"/>
    </row>
    <row r="28" spans="1:14" ht="18" customHeight="1" x14ac:dyDescent="0.35">
      <c r="G28" s="2"/>
      <c r="H28" s="2"/>
      <c r="I28" s="15"/>
      <c r="J28"/>
    </row>
    <row r="29" spans="1:14" s="86" customFormat="1" ht="18" customHeight="1" x14ac:dyDescent="0.35">
      <c r="C29" s="48"/>
      <c r="D29" s="48"/>
      <c r="E29" s="48"/>
      <c r="I29" s="83"/>
    </row>
    <row r="30" spans="1:14" ht="18" customHeight="1" x14ac:dyDescent="0.35">
      <c r="A30" s="137" t="s">
        <v>116</v>
      </c>
      <c r="B30" s="140"/>
      <c r="C30" s="186"/>
      <c r="D30" s="186"/>
      <c r="E30" s="186"/>
      <c r="G30" s="137" t="s">
        <v>441</v>
      </c>
      <c r="H30" s="2"/>
      <c r="I30" s="15" t="s">
        <v>108</v>
      </c>
      <c r="J30" s="2" t="s">
        <v>118</v>
      </c>
    </row>
    <row r="31" spans="1:14" ht="18" customHeight="1" thickBot="1" x14ac:dyDescent="0.4">
      <c r="A31" s="2" t="s">
        <v>117</v>
      </c>
      <c r="C31" s="137" t="s">
        <v>441</v>
      </c>
      <c r="D31" s="187"/>
      <c r="G31" s="2"/>
      <c r="H31" s="2"/>
      <c r="I31" s="15"/>
      <c r="J31" s="135"/>
    </row>
    <row r="32" spans="1:14" ht="18" customHeight="1" thickBot="1" x14ac:dyDescent="0.4">
      <c r="A32" s="2" t="s">
        <v>248</v>
      </c>
      <c r="C32" s="137" t="s">
        <v>441</v>
      </c>
      <c r="D32" s="187"/>
      <c r="G32" s="2"/>
      <c r="H32" s="2"/>
      <c r="I32" s="15"/>
    </row>
    <row r="33" spans="1:14" ht="18" customHeight="1" x14ac:dyDescent="0.35">
      <c r="C33" s="203"/>
      <c r="G33" s="2"/>
      <c r="H33" s="2"/>
      <c r="I33" s="15"/>
    </row>
    <row r="34" spans="1:14" s="86" customFormat="1" ht="18" customHeight="1" x14ac:dyDescent="0.35">
      <c r="C34" s="48"/>
      <c r="D34" s="48"/>
      <c r="E34" s="48"/>
      <c r="I34" s="83"/>
    </row>
    <row r="35" spans="1:14" ht="18" customHeight="1" x14ac:dyDescent="0.35">
      <c r="A35" s="137" t="s">
        <v>119</v>
      </c>
      <c r="B35" s="140"/>
      <c r="C35" s="186"/>
      <c r="D35" s="186"/>
      <c r="G35" s="137" t="s">
        <v>441</v>
      </c>
      <c r="H35" s="2"/>
      <c r="I35" s="15" t="s">
        <v>108</v>
      </c>
      <c r="J35" s="2" t="s">
        <v>249</v>
      </c>
    </row>
    <row r="36" spans="1:14" ht="18" customHeight="1" x14ac:dyDescent="0.35">
      <c r="C36" s="2"/>
      <c r="D36" s="2"/>
      <c r="E36" s="2"/>
      <c r="G36" s="2"/>
      <c r="H36" s="2"/>
      <c r="I36" s="15"/>
      <c r="J36"/>
      <c r="K36" s="125"/>
      <c r="L36" s="132"/>
      <c r="M36" s="125"/>
      <c r="N36" s="125"/>
    </row>
    <row r="37" spans="1:14" ht="18" customHeight="1" x14ac:dyDescent="0.35">
      <c r="B37" s="88"/>
      <c r="C37" s="88"/>
      <c r="D37" s="88"/>
      <c r="E37" s="88"/>
      <c r="G37" s="2"/>
      <c r="H37" s="2"/>
      <c r="I37" s="15"/>
      <c r="J37" s="2" t="s">
        <v>404</v>
      </c>
      <c r="L37" s="131"/>
    </row>
    <row r="38" spans="1:14" s="86" customFormat="1" ht="18" customHeight="1" x14ac:dyDescent="0.35">
      <c r="C38" s="48"/>
      <c r="D38" s="48"/>
      <c r="E38" s="48"/>
      <c r="I38" s="83"/>
    </row>
    <row r="39" spans="1:14" ht="18" customHeight="1" x14ac:dyDescent="0.35">
      <c r="A39" s="137" t="s">
        <v>135</v>
      </c>
      <c r="B39" s="140"/>
      <c r="C39" s="186"/>
      <c r="G39" s="137" t="s">
        <v>441</v>
      </c>
      <c r="H39" s="2"/>
      <c r="I39" s="15" t="s">
        <v>108</v>
      </c>
      <c r="J39" s="2" t="s">
        <v>458</v>
      </c>
    </row>
    <row r="40" spans="1:14" ht="18" customHeight="1" x14ac:dyDescent="0.35">
      <c r="G40" s="2"/>
      <c r="H40" s="2"/>
      <c r="I40" s="15"/>
      <c r="J40"/>
      <c r="K40" s="125"/>
      <c r="L40" s="125"/>
      <c r="M40" s="125"/>
      <c r="N40" s="125"/>
    </row>
    <row r="41" spans="1:14" s="86" customFormat="1" ht="18" customHeight="1" x14ac:dyDescent="0.35">
      <c r="C41" s="48"/>
      <c r="D41" s="48"/>
      <c r="E41" s="48"/>
      <c r="I41" s="83"/>
    </row>
    <row r="42" spans="1:14" ht="18" customHeight="1" x14ac:dyDescent="0.35">
      <c r="A42" s="137" t="s">
        <v>136</v>
      </c>
      <c r="G42" s="137" t="s">
        <v>441</v>
      </c>
      <c r="H42" s="2"/>
      <c r="I42" s="15" t="s">
        <v>108</v>
      </c>
      <c r="J42" s="2" t="s">
        <v>401</v>
      </c>
    </row>
    <row r="43" spans="1:14" ht="18" customHeight="1" x14ac:dyDescent="0.35">
      <c r="A43" s="26"/>
      <c r="G43" s="6"/>
      <c r="H43" s="2"/>
      <c r="I43" s="15"/>
      <c r="J43" s="2" t="s">
        <v>238</v>
      </c>
    </row>
    <row r="44" spans="1:14" ht="18" customHeight="1" x14ac:dyDescent="0.35">
      <c r="A44" s="26"/>
      <c r="G44" s="6"/>
      <c r="H44" s="2"/>
      <c r="I44" s="15"/>
      <c r="J44" s="2" t="s">
        <v>239</v>
      </c>
    </row>
    <row r="45" spans="1:14" ht="18" customHeight="1" x14ac:dyDescent="0.35">
      <c r="A45" s="26"/>
      <c r="G45" s="6"/>
      <c r="H45" s="2"/>
      <c r="I45" s="15"/>
      <c r="J45" s="135"/>
      <c r="K45" s="125"/>
      <c r="L45" s="125"/>
      <c r="M45" s="125"/>
      <c r="N45" s="125"/>
    </row>
    <row r="46" spans="1:14" s="86" customFormat="1" ht="18" customHeight="1" x14ac:dyDescent="0.35">
      <c r="C46" s="48"/>
      <c r="D46" s="48"/>
      <c r="E46" s="48"/>
      <c r="I46" s="83"/>
    </row>
    <row r="47" spans="1:14" ht="18" customHeight="1" x14ac:dyDescent="0.35">
      <c r="A47" s="137" t="s">
        <v>120</v>
      </c>
      <c r="B47" s="140"/>
      <c r="G47" s="137" t="s">
        <v>441</v>
      </c>
      <c r="H47" s="2"/>
      <c r="I47" s="15" t="s">
        <v>108</v>
      </c>
      <c r="J47" s="55" t="s">
        <v>302</v>
      </c>
    </row>
    <row r="48" spans="1:14" ht="18" customHeight="1" x14ac:dyDescent="0.35">
      <c r="A48"/>
      <c r="B48"/>
      <c r="C48"/>
      <c r="D48"/>
      <c r="E48"/>
      <c r="F48"/>
      <c r="H48" s="2"/>
      <c r="I48" s="15"/>
      <c r="J48" s="55"/>
    </row>
    <row r="49" spans="1:14" s="86" customFormat="1" ht="18" customHeight="1" x14ac:dyDescent="0.35">
      <c r="C49" s="48"/>
      <c r="D49" s="48"/>
      <c r="E49" s="48"/>
      <c r="I49" s="83"/>
    </row>
    <row r="50" spans="1:14" ht="18" customHeight="1" x14ac:dyDescent="0.35">
      <c r="A50" s="137" t="s">
        <v>121</v>
      </c>
      <c r="B50" s="140"/>
      <c r="G50" s="137" t="s">
        <v>441</v>
      </c>
      <c r="H50" s="2"/>
      <c r="I50" s="15" t="s">
        <v>108</v>
      </c>
      <c r="J50" s="55" t="s">
        <v>459</v>
      </c>
      <c r="K50" s="125"/>
      <c r="L50" s="125"/>
      <c r="M50" s="125"/>
      <c r="N50" s="125"/>
    </row>
    <row r="51" spans="1:14" ht="18" customHeight="1" x14ac:dyDescent="0.35">
      <c r="A51" s="8"/>
      <c r="B51" s="8"/>
      <c r="G51" s="2"/>
      <c r="H51" s="2"/>
      <c r="I51" s="15"/>
      <c r="J51" s="135"/>
      <c r="K51" s="125"/>
      <c r="L51" s="125"/>
      <c r="M51" s="125"/>
      <c r="N51" s="125"/>
    </row>
    <row r="52" spans="1:14" s="86" customFormat="1" ht="18" customHeight="1" x14ac:dyDescent="0.35">
      <c r="C52" s="48"/>
      <c r="D52" s="48"/>
      <c r="E52" s="48"/>
      <c r="I52" s="83"/>
    </row>
    <row r="53" spans="1:14" ht="18" customHeight="1" x14ac:dyDescent="0.35">
      <c r="A53" s="137" t="s">
        <v>122</v>
      </c>
      <c r="G53" s="137" t="s">
        <v>441</v>
      </c>
      <c r="H53" s="2"/>
      <c r="I53" s="15" t="s">
        <v>108</v>
      </c>
      <c r="J53" s="2" t="s">
        <v>460</v>
      </c>
    </row>
    <row r="54" spans="1:14" ht="18" customHeight="1" x14ac:dyDescent="0.35">
      <c r="G54" s="6"/>
      <c r="H54" s="2"/>
      <c r="I54" s="15"/>
      <c r="J54" s="2" t="s">
        <v>123</v>
      </c>
    </row>
    <row r="55" spans="1:14" ht="18" customHeight="1" x14ac:dyDescent="0.35">
      <c r="G55" s="6"/>
      <c r="H55" s="2"/>
      <c r="I55" s="15"/>
      <c r="J55" s="135"/>
      <c r="K55" s="125"/>
      <c r="L55" s="125"/>
      <c r="M55" s="125"/>
      <c r="N55" s="125"/>
    </row>
    <row r="56" spans="1:14" s="86" customFormat="1" ht="18" customHeight="1" x14ac:dyDescent="0.35">
      <c r="C56" s="48"/>
      <c r="D56" s="48"/>
      <c r="E56" s="48"/>
      <c r="G56" s="63"/>
      <c r="I56" s="83"/>
    </row>
    <row r="57" spans="1:14" ht="18" customHeight="1" x14ac:dyDescent="0.35">
      <c r="A57" s="137" t="s">
        <v>124</v>
      </c>
      <c r="B57" s="140"/>
      <c r="C57" s="186"/>
      <c r="G57" s="137" t="s">
        <v>441</v>
      </c>
      <c r="H57" s="2"/>
      <c r="I57" s="15" t="s">
        <v>108</v>
      </c>
      <c r="J57" s="2" t="s">
        <v>153</v>
      </c>
    </row>
    <row r="58" spans="1:14" ht="18" customHeight="1" x14ac:dyDescent="0.35">
      <c r="A58" s="126"/>
      <c r="B58" s="125"/>
      <c r="G58" s="6"/>
      <c r="H58" s="2"/>
      <c r="I58" s="15"/>
      <c r="J58" s="2" t="s">
        <v>318</v>
      </c>
    </row>
    <row r="59" spans="1:14" ht="18" customHeight="1" x14ac:dyDescent="0.35">
      <c r="G59" s="2"/>
      <c r="H59" s="2"/>
      <c r="I59" s="15"/>
      <c r="J59" s="2" t="s">
        <v>125</v>
      </c>
    </row>
    <row r="60" spans="1:14" ht="18" customHeight="1" x14ac:dyDescent="0.35">
      <c r="G60" s="2"/>
      <c r="H60" s="2"/>
      <c r="I60" s="15"/>
      <c r="J60" s="135"/>
      <c r="K60" s="125"/>
      <c r="L60" s="125"/>
      <c r="M60" s="125"/>
      <c r="N60" s="125"/>
    </row>
    <row r="61" spans="1:14" s="86" customFormat="1" ht="18" customHeight="1" x14ac:dyDescent="0.35">
      <c r="C61" s="48"/>
      <c r="D61" s="48"/>
      <c r="E61" s="48"/>
      <c r="I61" s="83"/>
    </row>
    <row r="62" spans="1:14" ht="18" customHeight="1" x14ac:dyDescent="0.35">
      <c r="A62" s="137" t="s">
        <v>126</v>
      </c>
      <c r="B62" s="140"/>
      <c r="C62" s="186"/>
      <c r="D62" s="186"/>
      <c r="E62" s="186"/>
      <c r="G62" s="137" t="s">
        <v>441</v>
      </c>
      <c r="H62" s="2"/>
      <c r="I62" s="15" t="s">
        <v>108</v>
      </c>
      <c r="J62" s="2" t="s">
        <v>176</v>
      </c>
    </row>
    <row r="63" spans="1:14" ht="18" customHeight="1" x14ac:dyDescent="0.35">
      <c r="G63" s="2"/>
      <c r="H63" s="2"/>
      <c r="I63" s="15"/>
      <c r="J63" s="2" t="s">
        <v>319</v>
      </c>
    </row>
    <row r="64" spans="1:14" ht="18" customHeight="1" x14ac:dyDescent="0.35">
      <c r="G64" s="2"/>
      <c r="H64" s="2"/>
      <c r="I64" s="15"/>
      <c r="J64" s="2" t="s">
        <v>432</v>
      </c>
    </row>
    <row r="65" spans="1:14" ht="18" customHeight="1" x14ac:dyDescent="0.35">
      <c r="G65" s="2"/>
      <c r="H65" s="2"/>
      <c r="I65" s="15"/>
    </row>
    <row r="66" spans="1:14" s="86" customFormat="1" ht="18" customHeight="1" x14ac:dyDescent="0.35">
      <c r="C66" s="48"/>
      <c r="D66" s="48"/>
      <c r="E66" s="48"/>
      <c r="I66" s="83"/>
      <c r="J66" s="204"/>
    </row>
    <row r="67" spans="1:14" ht="18" customHeight="1" x14ac:dyDescent="0.35">
      <c r="A67" s="153" t="s">
        <v>127</v>
      </c>
      <c r="B67" s="140"/>
      <c r="C67" s="186"/>
      <c r="G67" s="137" t="s">
        <v>441</v>
      </c>
      <c r="H67" s="2"/>
      <c r="I67" s="15" t="s">
        <v>108</v>
      </c>
      <c r="J67" s="2" t="s">
        <v>461</v>
      </c>
    </row>
    <row r="68" spans="1:14" ht="18" customHeight="1" x14ac:dyDescent="0.35">
      <c r="A68" s="2" t="s">
        <v>320</v>
      </c>
      <c r="D68"/>
      <c r="G68" s="2"/>
      <c r="H68" s="2"/>
      <c r="I68" s="15"/>
      <c r="J68" s="2" t="s">
        <v>128</v>
      </c>
    </row>
    <row r="69" spans="1:14" ht="18" customHeight="1" x14ac:dyDescent="0.35">
      <c r="G69" s="2"/>
      <c r="H69" s="2"/>
      <c r="I69" s="15"/>
      <c r="J69" s="2" t="s">
        <v>462</v>
      </c>
    </row>
    <row r="70" spans="1:14" ht="18" customHeight="1" x14ac:dyDescent="0.35">
      <c r="G70" s="2"/>
      <c r="H70" s="2"/>
      <c r="I70" s="15"/>
      <c r="J70" s="135"/>
      <c r="K70" s="125"/>
      <c r="L70" s="125"/>
      <c r="M70" s="125"/>
      <c r="N70" s="125"/>
    </row>
    <row r="71" spans="1:14" s="86" customFormat="1" ht="18" customHeight="1" x14ac:dyDescent="0.35">
      <c r="C71" s="48"/>
      <c r="D71" s="48"/>
      <c r="E71" s="48"/>
      <c r="I71" s="83"/>
    </row>
    <row r="72" spans="1:14" ht="18" customHeight="1" x14ac:dyDescent="0.35">
      <c r="A72" s="137" t="s">
        <v>129</v>
      </c>
      <c r="G72" s="137" t="s">
        <v>441</v>
      </c>
      <c r="H72" s="2"/>
      <c r="I72" s="15" t="s">
        <v>108</v>
      </c>
      <c r="J72" s="2" t="s">
        <v>130</v>
      </c>
    </row>
    <row r="73" spans="1:14" ht="18" customHeight="1" x14ac:dyDescent="0.35">
      <c r="G73" s="2"/>
      <c r="H73" s="2"/>
      <c r="I73" s="15"/>
    </row>
    <row r="74" spans="1:14" s="86" customFormat="1" ht="18" customHeight="1" x14ac:dyDescent="0.35">
      <c r="C74" s="48"/>
      <c r="D74" s="48"/>
      <c r="E74" s="48"/>
      <c r="I74" s="83"/>
    </row>
    <row r="75" spans="1:14" ht="18" customHeight="1" x14ac:dyDescent="0.35">
      <c r="A75" s="137" t="s">
        <v>131</v>
      </c>
      <c r="B75" s="140"/>
      <c r="C75" s="186"/>
      <c r="D75" s="186"/>
      <c r="G75" s="137" t="s">
        <v>441</v>
      </c>
      <c r="H75" s="2"/>
      <c r="I75" s="15" t="s">
        <v>108</v>
      </c>
      <c r="J75" s="14" t="s">
        <v>132</v>
      </c>
    </row>
    <row r="76" spans="1:14" ht="18" customHeight="1" x14ac:dyDescent="0.35">
      <c r="A76" s="26"/>
      <c r="G76" s="6"/>
      <c r="H76" s="2"/>
      <c r="I76" s="15"/>
      <c r="J76" s="14"/>
      <c r="K76" s="14"/>
      <c r="L76" s="14"/>
    </row>
    <row r="77" spans="1:14" s="86" customFormat="1" ht="18" customHeight="1" x14ac:dyDescent="0.35">
      <c r="C77" s="48"/>
      <c r="D77" s="48"/>
      <c r="E77" s="48"/>
      <c r="I77" s="83"/>
      <c r="J77" s="86" t="s">
        <v>3</v>
      </c>
    </row>
    <row r="78" spans="1:14" ht="18" customHeight="1" x14ac:dyDescent="0.35">
      <c r="A78" s="137" t="s">
        <v>133</v>
      </c>
      <c r="G78" s="137" t="s">
        <v>441</v>
      </c>
      <c r="H78" s="2"/>
      <c r="I78" s="31" t="s">
        <v>321</v>
      </c>
      <c r="J78" s="2" t="s">
        <v>322</v>
      </c>
    </row>
    <row r="79" spans="1:14" ht="18" customHeight="1" x14ac:dyDescent="0.35">
      <c r="A79" s="2" t="s">
        <v>463</v>
      </c>
      <c r="G79" s="2"/>
      <c r="H79" s="2"/>
      <c r="I79" s="15"/>
      <c r="J79" s="55" t="s">
        <v>425</v>
      </c>
    </row>
    <row r="80" spans="1:14" ht="18" customHeight="1" x14ac:dyDescent="0.35">
      <c r="A80" s="2" t="s">
        <v>134</v>
      </c>
      <c r="G80" s="2"/>
      <c r="H80" s="2"/>
      <c r="I80" s="15"/>
      <c r="J80" s="55"/>
      <c r="K80" s="125"/>
      <c r="L80" s="125"/>
      <c r="M80" s="125"/>
      <c r="N80" s="125"/>
    </row>
    <row r="81" spans="1:11" ht="18" customHeight="1" x14ac:dyDescent="0.35">
      <c r="A81" s="2" t="s">
        <v>137</v>
      </c>
      <c r="G81" s="2"/>
      <c r="H81" s="2"/>
      <c r="I81" s="15"/>
      <c r="J81" s="55"/>
    </row>
    <row r="82" spans="1:11" ht="18" customHeight="1" x14ac:dyDescent="0.35">
      <c r="G82" s="2"/>
      <c r="H82" s="2"/>
      <c r="I82" s="15"/>
      <c r="K82" s="14"/>
    </row>
    <row r="83" spans="1:11" s="86" customFormat="1" ht="18" customHeight="1" x14ac:dyDescent="0.35">
      <c r="C83" s="48"/>
      <c r="D83" s="48"/>
      <c r="E83" s="48"/>
      <c r="I83" s="83"/>
    </row>
    <row r="84" spans="1:11" ht="18" customHeight="1" x14ac:dyDescent="0.35">
      <c r="A84" s="137" t="s">
        <v>138</v>
      </c>
      <c r="G84" s="137" t="s">
        <v>441</v>
      </c>
      <c r="H84" s="2"/>
      <c r="I84" s="15" t="s">
        <v>108</v>
      </c>
      <c r="J84" s="2" t="s">
        <v>464</v>
      </c>
    </row>
    <row r="85" spans="1:11" ht="18" customHeight="1" x14ac:dyDescent="0.35">
      <c r="G85" s="2"/>
      <c r="H85" s="2"/>
      <c r="I85" s="15"/>
      <c r="K85" s="8"/>
    </row>
    <row r="86" spans="1:11" s="86" customFormat="1" ht="18" customHeight="1" x14ac:dyDescent="0.35">
      <c r="C86" s="48"/>
      <c r="D86" s="48"/>
      <c r="E86" s="48"/>
      <c r="I86" s="83"/>
    </row>
    <row r="87" spans="1:11" ht="18" customHeight="1" x14ac:dyDescent="0.35">
      <c r="G87" s="2"/>
      <c r="H87" s="2"/>
      <c r="I87" s="15"/>
    </row>
    <row r="88" spans="1:11" ht="18" customHeight="1" x14ac:dyDescent="0.35">
      <c r="A88" s="6" t="s">
        <v>465</v>
      </c>
      <c r="G88" s="2"/>
      <c r="H88" s="2"/>
      <c r="I88" s="15"/>
    </row>
    <row r="89" spans="1:11" ht="18" customHeight="1" x14ac:dyDescent="0.35">
      <c r="G89" s="2"/>
      <c r="H89" s="2"/>
      <c r="I89" s="15"/>
    </row>
    <row r="90" spans="1:11" ht="18" customHeight="1" x14ac:dyDescent="0.35">
      <c r="A90" s="154" t="s">
        <v>224</v>
      </c>
      <c r="C90" s="36" t="s">
        <v>427</v>
      </c>
      <c r="G90" s="2"/>
      <c r="H90" s="2"/>
      <c r="I90" s="15"/>
    </row>
    <row r="91" spans="1:11" ht="18" customHeight="1" x14ac:dyDescent="0.35">
      <c r="G91" s="2"/>
      <c r="H91" s="2"/>
      <c r="I91" s="15"/>
    </row>
    <row r="92" spans="1:11" ht="18" customHeight="1" thickBot="1" x14ac:dyDescent="0.4">
      <c r="A92" s="2" t="s">
        <v>225</v>
      </c>
      <c r="C92" s="205" t="s">
        <v>3</v>
      </c>
      <c r="G92" s="2"/>
      <c r="H92" s="2"/>
      <c r="I92" s="15"/>
    </row>
    <row r="93" spans="1:11" ht="18" customHeight="1" x14ac:dyDescent="0.35">
      <c r="A93" s="2" t="s">
        <v>226</v>
      </c>
      <c r="C93" s="206"/>
      <c r="G93" s="2"/>
      <c r="H93" s="2"/>
      <c r="I93" s="15"/>
    </row>
    <row r="94" spans="1:11" ht="18" customHeight="1" x14ac:dyDescent="0.35">
      <c r="A94" s="2" t="s">
        <v>246</v>
      </c>
      <c r="C94" s="207"/>
      <c r="G94" s="2"/>
      <c r="H94" s="2"/>
      <c r="I94" s="15"/>
    </row>
    <row r="95" spans="1:11" ht="18" customHeight="1" x14ac:dyDescent="0.35">
      <c r="A95" s="2" t="s">
        <v>227</v>
      </c>
      <c r="C95" s="208"/>
      <c r="G95" s="2"/>
      <c r="H95" s="2"/>
      <c r="I95" s="15"/>
    </row>
    <row r="96" spans="1:11" ht="18" customHeight="1" x14ac:dyDescent="0.35">
      <c r="C96" s="209"/>
      <c r="G96" s="2"/>
      <c r="H96" s="2"/>
      <c r="I96" s="15"/>
    </row>
    <row r="97" spans="1:9" ht="18" customHeight="1" x14ac:dyDescent="0.35">
      <c r="A97" s="2" t="s">
        <v>228</v>
      </c>
      <c r="C97" s="210" t="s">
        <v>24</v>
      </c>
      <c r="D97" s="8" t="s">
        <v>466</v>
      </c>
      <c r="G97" s="2"/>
      <c r="H97" s="2"/>
      <c r="I97" s="15" t="s">
        <v>468</v>
      </c>
    </row>
    <row r="98" spans="1:9" ht="18" customHeight="1" x14ac:dyDescent="0.35">
      <c r="A98" s="2" t="s">
        <v>229</v>
      </c>
      <c r="C98" s="210" t="s">
        <v>24</v>
      </c>
      <c r="D98" s="8" t="s">
        <v>466</v>
      </c>
      <c r="G98" s="2"/>
      <c r="H98" s="2"/>
      <c r="I98" s="15" t="s">
        <v>243</v>
      </c>
    </row>
    <row r="99" spans="1:9" ht="18" customHeight="1" x14ac:dyDescent="0.35">
      <c r="A99" s="2" t="s">
        <v>230</v>
      </c>
      <c r="C99" s="211" t="s">
        <v>24</v>
      </c>
      <c r="G99" s="2"/>
      <c r="H99" s="2"/>
      <c r="I99" s="15" t="s">
        <v>231</v>
      </c>
    </row>
    <row r="100" spans="1:9" ht="18" customHeight="1" x14ac:dyDescent="0.35">
      <c r="A100" s="2" t="s">
        <v>232</v>
      </c>
      <c r="C100" s="211" t="s">
        <v>24</v>
      </c>
      <c r="D100" s="8" t="s">
        <v>247</v>
      </c>
      <c r="G100" s="2"/>
      <c r="H100" s="2"/>
      <c r="I100" s="15" t="s">
        <v>325</v>
      </c>
    </row>
    <row r="101" spans="1:9" ht="18" customHeight="1" x14ac:dyDescent="0.35">
      <c r="A101" s="2" t="s">
        <v>233</v>
      </c>
      <c r="C101" s="211" t="s">
        <v>24</v>
      </c>
      <c r="D101" s="8" t="s">
        <v>234</v>
      </c>
      <c r="G101" s="2"/>
      <c r="H101" s="2"/>
      <c r="I101" s="15" t="s">
        <v>324</v>
      </c>
    </row>
    <row r="102" spans="1:9" ht="18" customHeight="1" x14ac:dyDescent="0.35">
      <c r="A102" s="2" t="s">
        <v>235</v>
      </c>
      <c r="C102" s="211" t="s">
        <v>24</v>
      </c>
      <c r="D102" s="8" t="s">
        <v>236</v>
      </c>
      <c r="G102" s="2"/>
      <c r="H102" s="2"/>
      <c r="I102" s="15" t="s">
        <v>326</v>
      </c>
    </row>
    <row r="103" spans="1:9" ht="18" customHeight="1" x14ac:dyDescent="0.35">
      <c r="C103"/>
      <c r="G103" s="2"/>
      <c r="H103" s="2"/>
      <c r="I103" s="15"/>
    </row>
    <row r="104" spans="1:9" ht="18" customHeight="1" thickBot="1" x14ac:dyDescent="0.4">
      <c r="C104" s="212">
        <f>SUM(C97:C102)</f>
        <v>0</v>
      </c>
      <c r="D104" s="8" t="s">
        <v>323</v>
      </c>
      <c r="G104" s="2"/>
      <c r="H104" s="2"/>
      <c r="I104" s="15"/>
    </row>
    <row r="105" spans="1:9" ht="18" customHeight="1" thickTop="1" x14ac:dyDescent="0.35">
      <c r="G105" s="2"/>
      <c r="H105" s="2"/>
      <c r="I105" s="15"/>
    </row>
    <row r="106" spans="1:9" ht="18" customHeight="1" thickBot="1" x14ac:dyDescent="0.4">
      <c r="A106" s="2" t="s">
        <v>240</v>
      </c>
      <c r="C106" s="213"/>
      <c r="G106" s="2"/>
      <c r="H106" s="2"/>
      <c r="I106" s="15" t="s">
        <v>467</v>
      </c>
    </row>
    <row r="107" spans="1:9" ht="18" customHeight="1" x14ac:dyDescent="0.35">
      <c r="A107" s="2" t="s">
        <v>241</v>
      </c>
      <c r="C107" s="206"/>
      <c r="G107" s="2"/>
      <c r="H107" s="2"/>
      <c r="I107" s="15"/>
    </row>
    <row r="108" spans="1:9" ht="18" customHeight="1" x14ac:dyDescent="0.35">
      <c r="G108" s="2"/>
      <c r="H108" s="2"/>
      <c r="I108" s="15"/>
    </row>
    <row r="109" spans="1:9" ht="18" customHeight="1" x14ac:dyDescent="0.35">
      <c r="A109" s="18" t="s">
        <v>242</v>
      </c>
      <c r="G109" s="2"/>
      <c r="H109" s="2"/>
      <c r="I109" s="15"/>
    </row>
    <row r="110" spans="1:9" ht="18" customHeight="1" x14ac:dyDescent="0.35">
      <c r="G110" s="2"/>
      <c r="H110" s="2"/>
      <c r="I110" s="15"/>
    </row>
    <row r="111" spans="1:9" ht="18" customHeight="1" thickBot="1" x14ac:dyDescent="0.4">
      <c r="A111" s="2" t="s">
        <v>225</v>
      </c>
      <c r="C111" s="205" t="s">
        <v>3</v>
      </c>
      <c r="G111" s="2"/>
      <c r="H111" s="2"/>
      <c r="I111" s="15"/>
    </row>
    <row r="112" spans="1:9" ht="18" customHeight="1" x14ac:dyDescent="0.35">
      <c r="A112" s="2" t="s">
        <v>226</v>
      </c>
      <c r="C112" s="206"/>
      <c r="G112" s="2"/>
      <c r="H112" s="2"/>
      <c r="I112" s="15"/>
    </row>
    <row r="113" spans="1:9" ht="18" customHeight="1" x14ac:dyDescent="0.35">
      <c r="A113" s="2" t="s">
        <v>246</v>
      </c>
      <c r="C113" s="207"/>
      <c r="G113" s="2"/>
      <c r="H113" s="2"/>
      <c r="I113" s="15"/>
    </row>
    <row r="114" spans="1:9" ht="18" customHeight="1" x14ac:dyDescent="0.35">
      <c r="A114" s="2" t="s">
        <v>227</v>
      </c>
      <c r="C114" s="208"/>
      <c r="G114" s="2"/>
      <c r="H114" s="2"/>
      <c r="I114" s="15"/>
    </row>
    <row r="115" spans="1:9" ht="18" customHeight="1" x14ac:dyDescent="0.35">
      <c r="C115" s="209"/>
      <c r="G115" s="2"/>
      <c r="H115" s="2"/>
      <c r="I115" s="15"/>
    </row>
    <row r="116" spans="1:9" ht="18" customHeight="1" x14ac:dyDescent="0.35">
      <c r="A116" s="2" t="s">
        <v>228</v>
      </c>
      <c r="C116" s="210" t="s">
        <v>24</v>
      </c>
      <c r="D116" s="8" t="s">
        <v>466</v>
      </c>
      <c r="G116" s="2"/>
      <c r="H116" s="2"/>
      <c r="I116" s="15" t="s">
        <v>468</v>
      </c>
    </row>
    <row r="117" spans="1:9" ht="18" customHeight="1" x14ac:dyDescent="0.35">
      <c r="A117" s="2" t="s">
        <v>229</v>
      </c>
      <c r="C117" s="210" t="s">
        <v>24</v>
      </c>
      <c r="D117" s="8" t="s">
        <v>466</v>
      </c>
      <c r="G117" s="2"/>
      <c r="H117" s="2"/>
      <c r="I117" s="15" t="s">
        <v>243</v>
      </c>
    </row>
    <row r="118" spans="1:9" ht="18" customHeight="1" x14ac:dyDescent="0.35">
      <c r="A118" s="2" t="s">
        <v>230</v>
      </c>
      <c r="C118" s="211" t="s">
        <v>24</v>
      </c>
      <c r="G118" s="2"/>
      <c r="H118" s="2"/>
      <c r="I118" s="15" t="s">
        <v>231</v>
      </c>
    </row>
    <row r="119" spans="1:9" ht="18" customHeight="1" x14ac:dyDescent="0.35">
      <c r="A119" s="2" t="s">
        <v>232</v>
      </c>
      <c r="C119" s="211" t="s">
        <v>24</v>
      </c>
      <c r="D119" s="8" t="s">
        <v>247</v>
      </c>
      <c r="G119" s="2"/>
      <c r="H119" s="2"/>
      <c r="I119" s="15" t="s">
        <v>325</v>
      </c>
    </row>
    <row r="120" spans="1:9" ht="18" customHeight="1" x14ac:dyDescent="0.35">
      <c r="A120" s="2" t="s">
        <v>233</v>
      </c>
      <c r="C120" s="211" t="s">
        <v>24</v>
      </c>
      <c r="D120" s="8" t="s">
        <v>234</v>
      </c>
      <c r="G120" s="2"/>
      <c r="H120" s="2"/>
      <c r="I120" s="15" t="s">
        <v>324</v>
      </c>
    </row>
    <row r="121" spans="1:9" ht="18" customHeight="1" x14ac:dyDescent="0.35">
      <c r="A121" s="2" t="s">
        <v>235</v>
      </c>
      <c r="C121" s="211" t="s">
        <v>24</v>
      </c>
      <c r="D121" s="8" t="s">
        <v>236</v>
      </c>
      <c r="G121" s="2"/>
      <c r="H121" s="2"/>
      <c r="I121" s="15" t="s">
        <v>326</v>
      </c>
    </row>
    <row r="122" spans="1:9" ht="18" customHeight="1" x14ac:dyDescent="0.35">
      <c r="C122"/>
      <c r="G122" s="2"/>
      <c r="H122" s="2"/>
      <c r="I122" s="15"/>
    </row>
    <row r="123" spans="1:9" ht="18" customHeight="1" thickBot="1" x14ac:dyDescent="0.4">
      <c r="C123" s="212">
        <f>SUM(C116:C121)</f>
        <v>0</v>
      </c>
      <c r="D123" s="8" t="s">
        <v>323</v>
      </c>
      <c r="G123" s="2"/>
      <c r="H123" s="2"/>
      <c r="I123" s="15"/>
    </row>
    <row r="124" spans="1:9" ht="18" customHeight="1" thickTop="1" x14ac:dyDescent="0.35">
      <c r="G124" s="2"/>
      <c r="H124" s="2"/>
      <c r="I124" s="15"/>
    </row>
    <row r="125" spans="1:9" ht="18" customHeight="1" thickBot="1" x14ac:dyDescent="0.4">
      <c r="A125" s="2" t="s">
        <v>240</v>
      </c>
      <c r="C125" s="213"/>
      <c r="G125" s="2"/>
      <c r="H125" s="2"/>
      <c r="I125" s="15" t="s">
        <v>467</v>
      </c>
    </row>
    <row r="126" spans="1:9" ht="18" customHeight="1" x14ac:dyDescent="0.35">
      <c r="A126" s="2" t="s">
        <v>241</v>
      </c>
      <c r="C126" s="206"/>
      <c r="G126" s="2"/>
      <c r="H126" s="2"/>
      <c r="I126" s="15"/>
    </row>
    <row r="127" spans="1:9" ht="18" customHeight="1" x14ac:dyDescent="0.35">
      <c r="G127" s="2"/>
      <c r="H127" s="2"/>
      <c r="I127" s="15"/>
    </row>
    <row r="128" spans="1:9" ht="18" customHeight="1" x14ac:dyDescent="0.35">
      <c r="A128" s="2" t="s">
        <v>245</v>
      </c>
      <c r="D128" s="155" t="s">
        <v>381</v>
      </c>
      <c r="G128" s="2"/>
      <c r="H128" s="2"/>
      <c r="I128" s="15"/>
    </row>
    <row r="129" spans="1:9" ht="18" customHeight="1" x14ac:dyDescent="0.35">
      <c r="A129" s="2" t="s">
        <v>244</v>
      </c>
      <c r="E129" s="214"/>
      <c r="F129" s="214"/>
      <c r="G129" s="214"/>
      <c r="H129" s="2"/>
      <c r="I129" s="15"/>
    </row>
    <row r="130" spans="1:9" ht="18" customHeight="1" x14ac:dyDescent="0.35"/>
    <row r="131" spans="1:9" ht="18" customHeight="1" x14ac:dyDescent="0.35">
      <c r="A131" s="261" t="s">
        <v>533</v>
      </c>
      <c r="B131" s="261"/>
      <c r="C131" s="261"/>
      <c r="D131" s="261"/>
      <c r="E131" s="261"/>
      <c r="F131" s="261"/>
      <c r="G131" s="261"/>
    </row>
    <row r="132" spans="1:9" ht="18" customHeight="1" x14ac:dyDescent="0.35">
      <c r="A132" s="261"/>
      <c r="B132" s="261"/>
      <c r="C132" s="261"/>
      <c r="D132" s="261"/>
      <c r="E132" s="261"/>
      <c r="F132" s="261"/>
      <c r="G132" s="261"/>
    </row>
    <row r="133" spans="1:9" ht="18" customHeight="1" x14ac:dyDescent="0.35">
      <c r="A133" s="261"/>
      <c r="B133" s="261"/>
      <c r="C133" s="261"/>
      <c r="D133" s="261"/>
      <c r="E133" s="261"/>
      <c r="F133" s="261"/>
      <c r="G133" s="261"/>
    </row>
    <row r="134" spans="1:9" ht="18" customHeight="1" x14ac:dyDescent="0.35"/>
    <row r="135" spans="1:9" ht="18" customHeight="1" x14ac:dyDescent="0.35"/>
    <row r="136" spans="1:9" ht="18" customHeight="1" x14ac:dyDescent="0.35"/>
    <row r="137" spans="1:9" ht="18" customHeight="1" x14ac:dyDescent="0.35"/>
    <row r="138" spans="1:9" ht="18" customHeight="1" x14ac:dyDescent="0.35"/>
    <row r="139" spans="1:9" ht="18" customHeight="1" x14ac:dyDescent="0.35"/>
    <row r="140" spans="1:9" ht="18" customHeight="1" x14ac:dyDescent="0.35"/>
    <row r="141" spans="1:9" ht="18" customHeight="1" x14ac:dyDescent="0.35"/>
    <row r="142" spans="1:9" ht="18" customHeight="1" x14ac:dyDescent="0.35"/>
    <row r="143" spans="1:9" ht="18" customHeight="1" x14ac:dyDescent="0.35"/>
    <row r="144" spans="1:9"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sheetProtection selectLockedCells="1"/>
  <mergeCells count="1">
    <mergeCell ref="A131:G133"/>
  </mergeCells>
  <dataValidations count="2">
    <dataValidation type="list" allowBlank="1" showInputMessage="1" showErrorMessage="1" error="Choose from the list provided" sqref="D128" xr:uid="{BB2133E6-8F8C-4F61-AC8D-EAFFCC9CA92F}">
      <formula1>YesNo.</formula1>
    </dataValidation>
    <dataValidation type="list" allowBlank="1" showInputMessage="1" showErrorMessage="1" error="Choose from the provided list" sqref="C16" xr:uid="{2AFD5DEA-A985-4C50-BCC1-47E6DBD35D1A}">
      <formula1>YesNo2</formula1>
    </dataValidation>
  </dataValidations>
  <hyperlinks>
    <hyperlink ref="J72" r:id="rId1" xr:uid="{0642A5C3-6901-41A1-BC1B-633DA7A1F7C0}"/>
  </hyperlinks>
  <pageMargins left="0.75" right="0.75" top="1" bottom="1" header="0.5" footer="0.5"/>
  <pageSetup paperSize="9" orientation="portrait" horizontalDpi="4294967292" verticalDpi="4294967292"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K377"/>
  <sheetViews>
    <sheetView showGridLines="0" zoomScale="70" zoomScaleNormal="70" workbookViewId="0">
      <pane ySplit="3" topLeftCell="A4" activePane="bottomLeft" state="frozen"/>
      <selection activeCell="A363" sqref="A363"/>
      <selection pane="bottomLeft" activeCell="A3" sqref="A3"/>
    </sheetView>
  </sheetViews>
  <sheetFormatPr defaultColWidth="8.81640625" defaultRowHeight="15.5" x14ac:dyDescent="0.35"/>
  <cols>
    <col min="1" max="1" width="33.54296875" style="2" customWidth="1"/>
    <col min="2" max="2" width="3.7265625" style="2" customWidth="1"/>
    <col min="3" max="3" width="17.81640625" style="8" customWidth="1"/>
    <col min="4" max="5" width="13.26953125" style="8" customWidth="1"/>
    <col min="6" max="6" width="13.1796875" style="2" customWidth="1"/>
    <col min="7" max="7" width="4.453125" style="2" customWidth="1"/>
    <col min="8" max="8" width="14.7265625" style="2" customWidth="1"/>
    <col min="9" max="10" width="21.54296875" style="2" customWidth="1"/>
    <col min="11" max="16384" width="8.81640625" style="2"/>
  </cols>
  <sheetData>
    <row r="1" spans="1:11" s="6" customFormat="1" ht="18" customHeight="1" x14ac:dyDescent="0.35">
      <c r="A1" s="6" t="s">
        <v>471</v>
      </c>
      <c r="B1" s="140" t="s">
        <v>469</v>
      </c>
      <c r="C1" s="140"/>
      <c r="D1" s="140"/>
      <c r="E1" s="140"/>
      <c r="F1" s="140"/>
    </row>
    <row r="2" spans="1:11" ht="18" customHeight="1" x14ac:dyDescent="0.35">
      <c r="B2" s="44"/>
      <c r="C2" s="193"/>
      <c r="D2" s="193"/>
      <c r="E2" s="193"/>
      <c r="F2" s="194"/>
      <c r="G2" s="194"/>
      <c r="H2" s="194"/>
      <c r="I2" s="194"/>
    </row>
    <row r="3" spans="1:11" ht="18" customHeight="1" x14ac:dyDescent="0.35">
      <c r="B3" s="44"/>
      <c r="C3" s="193"/>
      <c r="D3" s="193"/>
      <c r="E3" s="193"/>
      <c r="F3" s="194"/>
      <c r="G3" s="194"/>
      <c r="H3" s="194"/>
      <c r="I3" s="89" t="s">
        <v>305</v>
      </c>
      <c r="J3" s="89" t="s">
        <v>306</v>
      </c>
    </row>
    <row r="4" spans="1:11" ht="18" customHeight="1" x14ac:dyDescent="0.35">
      <c r="A4" s="6"/>
      <c r="B4" s="6"/>
      <c r="C4" s="215"/>
      <c r="D4" s="215"/>
      <c r="E4" s="215"/>
      <c r="I4" s="90"/>
      <c r="J4" s="90"/>
      <c r="K4" s="17"/>
    </row>
    <row r="5" spans="1:11" ht="18" customHeight="1" x14ac:dyDescent="0.35">
      <c r="A5" s="26" t="s">
        <v>154</v>
      </c>
      <c r="I5" s="216"/>
      <c r="J5" s="216"/>
    </row>
    <row r="6" spans="1:11" ht="18" customHeight="1" x14ac:dyDescent="0.35">
      <c r="A6" s="2" t="s">
        <v>139</v>
      </c>
      <c r="I6" s="137" t="s">
        <v>441</v>
      </c>
      <c r="J6" s="137" t="s">
        <v>441</v>
      </c>
    </row>
    <row r="7" spans="1:11" ht="18" customHeight="1" x14ac:dyDescent="0.35">
      <c r="A7" s="2" t="s">
        <v>472</v>
      </c>
      <c r="I7" s="216"/>
      <c r="J7" s="216"/>
    </row>
    <row r="8" spans="1:11" ht="18" customHeight="1" x14ac:dyDescent="0.35">
      <c r="I8" s="216"/>
      <c r="J8" s="216"/>
    </row>
    <row r="9" spans="1:11" ht="18" customHeight="1" x14ac:dyDescent="0.35">
      <c r="A9" s="26" t="s">
        <v>155</v>
      </c>
      <c r="I9" s="216"/>
      <c r="J9" s="216"/>
    </row>
    <row r="10" spans="1:11" ht="18" customHeight="1" x14ac:dyDescent="0.35">
      <c r="A10" s="2" t="s">
        <v>140</v>
      </c>
      <c r="I10" s="137" t="s">
        <v>441</v>
      </c>
      <c r="J10" s="137" t="s">
        <v>441</v>
      </c>
    </row>
    <row r="11" spans="1:11" ht="18" customHeight="1" x14ac:dyDescent="0.35">
      <c r="A11" s="2" t="s">
        <v>141</v>
      </c>
      <c r="I11" s="216"/>
      <c r="J11" s="216"/>
    </row>
    <row r="12" spans="1:11" ht="18" customHeight="1" x14ac:dyDescent="0.35">
      <c r="A12" s="2" t="s">
        <v>304</v>
      </c>
      <c r="I12" s="216"/>
      <c r="J12" s="216"/>
    </row>
    <row r="13" spans="1:11" ht="18" customHeight="1" x14ac:dyDescent="0.35">
      <c r="I13" s="216"/>
      <c r="J13" s="216"/>
    </row>
    <row r="14" spans="1:11" ht="18" customHeight="1" x14ac:dyDescent="0.35">
      <c r="A14" s="26" t="s">
        <v>156</v>
      </c>
      <c r="I14" s="216"/>
      <c r="J14" s="216"/>
    </row>
    <row r="15" spans="1:11" ht="18" customHeight="1" x14ac:dyDescent="0.35">
      <c r="A15" s="2" t="s">
        <v>142</v>
      </c>
      <c r="I15" s="137" t="s">
        <v>441</v>
      </c>
      <c r="J15" s="137" t="s">
        <v>441</v>
      </c>
    </row>
    <row r="16" spans="1:11" ht="18" customHeight="1" x14ac:dyDescent="0.35">
      <c r="I16" s="216"/>
      <c r="J16" s="216"/>
    </row>
    <row r="17" spans="1:10" ht="18" customHeight="1" x14ac:dyDescent="0.35">
      <c r="A17" s="26" t="s">
        <v>157</v>
      </c>
      <c r="I17" s="216"/>
      <c r="J17" s="216"/>
    </row>
    <row r="18" spans="1:10" ht="18" customHeight="1" x14ac:dyDescent="0.35">
      <c r="A18" s="2" t="s">
        <v>143</v>
      </c>
      <c r="I18" s="137" t="s">
        <v>441</v>
      </c>
      <c r="J18" s="137" t="s">
        <v>441</v>
      </c>
    </row>
    <row r="19" spans="1:10" ht="18" customHeight="1" x14ac:dyDescent="0.35">
      <c r="A19" s="2" t="s">
        <v>473</v>
      </c>
      <c r="I19" s="216"/>
      <c r="J19" s="216"/>
    </row>
    <row r="20" spans="1:10" ht="18" customHeight="1" x14ac:dyDescent="0.35">
      <c r="A20" s="2" t="s">
        <v>433</v>
      </c>
      <c r="I20" s="216"/>
      <c r="J20" s="216"/>
    </row>
    <row r="21" spans="1:10" ht="18" customHeight="1" x14ac:dyDescent="0.35">
      <c r="I21" s="216"/>
      <c r="J21" s="216"/>
    </row>
    <row r="22" spans="1:10" ht="18" customHeight="1" x14ac:dyDescent="0.35">
      <c r="A22" s="26" t="s">
        <v>158</v>
      </c>
      <c r="C22" s="217" t="s">
        <v>3</v>
      </c>
      <c r="I22" s="216"/>
      <c r="J22" s="216"/>
    </row>
    <row r="23" spans="1:10" ht="18" customHeight="1" x14ac:dyDescent="0.35">
      <c r="A23" s="2" t="s">
        <v>474</v>
      </c>
      <c r="I23" s="137" t="s">
        <v>441</v>
      </c>
      <c r="J23" s="137" t="s">
        <v>441</v>
      </c>
    </row>
    <row r="24" spans="1:10" ht="18" customHeight="1" x14ac:dyDescent="0.35">
      <c r="I24" s="216"/>
      <c r="J24" s="216"/>
    </row>
    <row r="25" spans="1:10" ht="18" customHeight="1" x14ac:dyDescent="0.35">
      <c r="A25" s="26" t="s">
        <v>159</v>
      </c>
      <c r="D25" s="218" t="s">
        <v>3</v>
      </c>
      <c r="I25" s="216"/>
      <c r="J25" s="216"/>
    </row>
    <row r="26" spans="1:10" ht="18" customHeight="1" x14ac:dyDescent="0.35">
      <c r="A26" s="2" t="s">
        <v>475</v>
      </c>
      <c r="I26" s="137" t="s">
        <v>441</v>
      </c>
      <c r="J26" s="137" t="s">
        <v>441</v>
      </c>
    </row>
    <row r="27" spans="1:10" ht="18" customHeight="1" x14ac:dyDescent="0.35">
      <c r="A27" s="2" t="s">
        <v>476</v>
      </c>
      <c r="I27" s="216"/>
      <c r="J27" s="216"/>
    </row>
    <row r="28" spans="1:10" ht="18" customHeight="1" x14ac:dyDescent="0.35">
      <c r="I28" s="216"/>
      <c r="J28" s="216"/>
    </row>
    <row r="29" spans="1:10" ht="18" customHeight="1" x14ac:dyDescent="0.35">
      <c r="A29" s="26" t="s">
        <v>160</v>
      </c>
      <c r="I29" s="216"/>
      <c r="J29" s="216"/>
    </row>
    <row r="30" spans="1:10" ht="18" customHeight="1" x14ac:dyDescent="0.35">
      <c r="A30" s="2" t="s">
        <v>144</v>
      </c>
      <c r="I30" s="137" t="s">
        <v>441</v>
      </c>
      <c r="J30" s="137" t="s">
        <v>441</v>
      </c>
    </row>
    <row r="31" spans="1:10" ht="18" customHeight="1" x14ac:dyDescent="0.35">
      <c r="I31" s="216"/>
      <c r="J31" s="216"/>
    </row>
    <row r="32" spans="1:10" ht="18" customHeight="1" x14ac:dyDescent="0.35">
      <c r="A32" s="26" t="s">
        <v>161</v>
      </c>
      <c r="I32" s="216"/>
      <c r="J32" s="216"/>
    </row>
    <row r="33" spans="1:10" ht="18" customHeight="1" x14ac:dyDescent="0.35">
      <c r="A33" s="2" t="s">
        <v>162</v>
      </c>
      <c r="I33" s="137" t="s">
        <v>441</v>
      </c>
      <c r="J33" s="137" t="s">
        <v>441</v>
      </c>
    </row>
    <row r="34" spans="1:10" ht="18" customHeight="1" thickBot="1" x14ac:dyDescent="0.4">
      <c r="I34" s="219"/>
      <c r="J34" s="219"/>
    </row>
    <row r="35" spans="1:10" ht="18" customHeight="1" x14ac:dyDescent="0.35">
      <c r="A35" s="261" t="s">
        <v>533</v>
      </c>
      <c r="B35" s="261"/>
      <c r="C35" s="261"/>
      <c r="D35" s="261"/>
      <c r="E35" s="261"/>
      <c r="F35" s="261"/>
      <c r="G35" s="261"/>
      <c r="H35" s="261"/>
    </row>
    <row r="36" spans="1:10" ht="18" customHeight="1" x14ac:dyDescent="0.35">
      <c r="A36" s="261"/>
      <c r="B36" s="261"/>
      <c r="C36" s="261"/>
      <c r="D36" s="261"/>
      <c r="E36" s="261"/>
      <c r="F36" s="261"/>
      <c r="G36" s="261"/>
      <c r="H36" s="261"/>
    </row>
    <row r="37" spans="1:10" ht="18" customHeight="1" x14ac:dyDescent="0.35">
      <c r="A37" s="261"/>
      <c r="B37" s="261"/>
      <c r="C37" s="261"/>
      <c r="D37" s="261"/>
      <c r="E37" s="261"/>
      <c r="F37" s="261"/>
      <c r="G37" s="261"/>
      <c r="H37" s="261"/>
    </row>
    <row r="38" spans="1:10" ht="18" customHeight="1" x14ac:dyDescent="0.35"/>
    <row r="39" spans="1:10" ht="18" customHeight="1" x14ac:dyDescent="0.35"/>
    <row r="40" spans="1:10" ht="18" customHeight="1" x14ac:dyDescent="0.35"/>
    <row r="41" spans="1:10" ht="18" customHeight="1" x14ac:dyDescent="0.35"/>
    <row r="42" spans="1:10" ht="18" customHeight="1" x14ac:dyDescent="0.35"/>
    <row r="43" spans="1:10" ht="18" customHeight="1" x14ac:dyDescent="0.35"/>
    <row r="44" spans="1:10" ht="18" customHeight="1" x14ac:dyDescent="0.35"/>
    <row r="45" spans="1:10" ht="18" customHeight="1" x14ac:dyDescent="0.35"/>
    <row r="46" spans="1:10" ht="18" customHeight="1" x14ac:dyDescent="0.35"/>
    <row r="47" spans="1:10" ht="18" customHeight="1" x14ac:dyDescent="0.35"/>
    <row r="48" spans="1:10"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sheetProtection selectLockedCells="1"/>
  <mergeCells count="1">
    <mergeCell ref="A35:H37"/>
  </mergeCells>
  <hyperlinks>
    <hyperlink ref="C22" r:id="rId1" display="  More Info here" xr:uid="{00000000-0004-0000-0600-000000000000}"/>
    <hyperlink ref="D25" r:id="rId2" display="More info here" xr:uid="{00000000-0004-0000-0600-000001000000}"/>
  </hyperlinks>
  <pageMargins left="0.75" right="0.75" top="1" bottom="1" header="0.5" footer="0.5"/>
  <pageSetup paperSize="9" orientation="portrait" horizontalDpi="4294967292" verticalDpi="4294967292" r:id="rId3"/>
  <headerFooter alignWithMargins="0"/>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N377"/>
  <sheetViews>
    <sheetView showGridLines="0" zoomScale="70" zoomScaleNormal="70" workbookViewId="0">
      <pane ySplit="4" topLeftCell="A5" activePane="bottomLeft" state="frozen"/>
      <selection activeCell="A363" sqref="A363"/>
      <selection pane="bottomLeft" activeCell="D21" sqref="D21"/>
    </sheetView>
  </sheetViews>
  <sheetFormatPr defaultRowHeight="15.5" x14ac:dyDescent="0.35"/>
  <cols>
    <col min="1" max="1" width="8.7265625" style="2"/>
    <col min="2" max="2" width="15.7265625" style="2" customWidth="1"/>
    <col min="3" max="3" width="4" style="2" customWidth="1"/>
    <col min="4" max="4" width="66.08984375" style="2" customWidth="1"/>
    <col min="5" max="16384" width="8.7265625" style="2"/>
  </cols>
  <sheetData>
    <row r="1" spans="1:5" s="6" customFormat="1" ht="18" customHeight="1" x14ac:dyDescent="0.35">
      <c r="A1" s="6" t="s">
        <v>477</v>
      </c>
    </row>
    <row r="2" spans="1:5" s="6" customFormat="1" ht="18" customHeight="1" x14ac:dyDescent="0.35"/>
    <row r="3" spans="1:5" ht="18" customHeight="1" x14ac:dyDescent="0.35"/>
    <row r="4" spans="1:5" s="221" customFormat="1" ht="18" customHeight="1" x14ac:dyDescent="0.35">
      <c r="A4" s="220" t="s">
        <v>479</v>
      </c>
      <c r="B4" s="115"/>
      <c r="C4" s="115"/>
      <c r="D4" s="115"/>
    </row>
    <row r="5" spans="1:5" ht="18" customHeight="1" x14ac:dyDescent="0.35"/>
    <row r="6" spans="1:5" ht="18" customHeight="1" x14ac:dyDescent="0.35">
      <c r="A6" s="222" t="s">
        <v>437</v>
      </c>
      <c r="B6" s="222"/>
      <c r="C6" s="222"/>
      <c r="D6" s="222"/>
      <c r="E6" s="222"/>
    </row>
    <row r="7" spans="1:5" ht="18" customHeight="1" x14ac:dyDescent="0.55000000000000004">
      <c r="A7" s="223" t="s">
        <v>480</v>
      </c>
      <c r="B7" s="223"/>
      <c r="C7" s="223"/>
      <c r="D7" s="223"/>
      <c r="E7" s="224">
        <v>820.51</v>
      </c>
    </row>
    <row r="8" spans="1:5" ht="18" customHeight="1" x14ac:dyDescent="0.35"/>
    <row r="9" spans="1:5" ht="18" customHeight="1" x14ac:dyDescent="0.35">
      <c r="A9" s="222" t="s">
        <v>438</v>
      </c>
      <c r="B9" s="222"/>
      <c r="C9" s="222"/>
      <c r="D9" s="222"/>
      <c r="E9" s="222"/>
    </row>
    <row r="10" spans="1:5" ht="18" customHeight="1" x14ac:dyDescent="0.55000000000000004">
      <c r="A10" s="223" t="s">
        <v>434</v>
      </c>
      <c r="B10" s="223"/>
      <c r="C10" s="223"/>
      <c r="D10" s="223"/>
      <c r="E10" s="224">
        <v>150</v>
      </c>
    </row>
    <row r="11" spans="1:5" ht="18" customHeight="1" x14ac:dyDescent="0.55000000000000004">
      <c r="A11" s="223"/>
      <c r="B11" s="223"/>
      <c r="C11" s="223"/>
      <c r="D11" s="223"/>
      <c r="E11" s="224"/>
    </row>
    <row r="12" spans="1:5" ht="18" customHeight="1" x14ac:dyDescent="0.35">
      <c r="A12" s="222" t="s">
        <v>439</v>
      </c>
      <c r="B12" s="222"/>
      <c r="C12" s="222"/>
      <c r="D12" s="222"/>
      <c r="E12" s="222"/>
    </row>
    <row r="13" spans="1:5" ht="18" customHeight="1" x14ac:dyDescent="0.55000000000000004">
      <c r="A13" s="223" t="s">
        <v>436</v>
      </c>
      <c r="B13" s="223"/>
      <c r="C13" s="223"/>
      <c r="D13" s="223"/>
      <c r="E13" s="224">
        <v>1000</v>
      </c>
    </row>
    <row r="14" spans="1:5" ht="18" customHeight="1" x14ac:dyDescent="0.55000000000000004">
      <c r="A14" s="223"/>
      <c r="B14" s="223"/>
      <c r="C14" s="223"/>
      <c r="D14" s="223"/>
      <c r="E14" s="223"/>
    </row>
    <row r="15" spans="1:5" ht="18" customHeight="1" x14ac:dyDescent="0.35">
      <c r="A15" s="222" t="s">
        <v>440</v>
      </c>
      <c r="B15" s="222"/>
      <c r="C15" s="222"/>
      <c r="D15" s="222"/>
      <c r="E15" s="222"/>
    </row>
    <row r="16" spans="1:5" ht="18" customHeight="1" x14ac:dyDescent="0.35">
      <c r="A16" s="225" t="s">
        <v>478</v>
      </c>
      <c r="B16" s="226"/>
      <c r="C16" s="226"/>
      <c r="D16" s="226"/>
      <c r="E16" s="224">
        <v>700</v>
      </c>
    </row>
    <row r="17" spans="1:14" ht="18" customHeight="1" x14ac:dyDescent="0.35">
      <c r="A17" s="225"/>
      <c r="B17" s="226"/>
      <c r="C17" s="226"/>
      <c r="D17" s="226"/>
      <c r="F17" s="227"/>
      <c r="G17" s="226"/>
      <c r="H17" s="226"/>
      <c r="I17" s="226"/>
      <c r="J17" s="228"/>
      <c r="K17" s="228"/>
      <c r="L17" s="228"/>
      <c r="M17" s="228"/>
      <c r="N17" s="228"/>
    </row>
    <row r="18" spans="1:14" ht="18" customHeight="1" x14ac:dyDescent="0.35"/>
    <row r="19" spans="1:14" ht="18" customHeight="1" x14ac:dyDescent="0.35"/>
    <row r="20" spans="1:14" ht="18" customHeight="1" x14ac:dyDescent="0.35"/>
    <row r="21" spans="1:14" ht="18" customHeight="1" x14ac:dyDescent="0.35"/>
    <row r="22" spans="1:14" ht="18" customHeight="1" x14ac:dyDescent="0.35"/>
    <row r="23" spans="1:14" ht="18" customHeight="1" x14ac:dyDescent="0.35"/>
    <row r="24" spans="1:14" ht="18" customHeight="1" x14ac:dyDescent="0.35"/>
    <row r="25" spans="1:14" ht="18" customHeight="1" x14ac:dyDescent="0.35">
      <c r="A25" s="261" t="s">
        <v>533</v>
      </c>
      <c r="B25" s="261"/>
      <c r="C25" s="261"/>
      <c r="D25" s="261"/>
      <c r="E25" s="261"/>
      <c r="F25" s="261"/>
      <c r="G25" s="261"/>
      <c r="H25" s="261"/>
    </row>
    <row r="26" spans="1:14" ht="18" customHeight="1" x14ac:dyDescent="0.35">
      <c r="A26" s="261"/>
      <c r="B26" s="261"/>
      <c r="C26" s="261"/>
      <c r="D26" s="261"/>
      <c r="E26" s="261"/>
      <c r="F26" s="261"/>
      <c r="G26" s="261"/>
      <c r="H26" s="261"/>
    </row>
    <row r="27" spans="1:14" ht="18" customHeight="1" x14ac:dyDescent="0.35">
      <c r="A27" s="261"/>
      <c r="B27" s="261"/>
      <c r="C27" s="261"/>
      <c r="D27" s="261"/>
      <c r="E27" s="261"/>
      <c r="F27" s="261"/>
      <c r="G27" s="261"/>
      <c r="H27" s="261"/>
    </row>
    <row r="28" spans="1:14" ht="18" customHeight="1" x14ac:dyDescent="0.35"/>
    <row r="29" spans="1:14" ht="18" customHeight="1" x14ac:dyDescent="0.35"/>
    <row r="30" spans="1:14" ht="18" customHeight="1" x14ac:dyDescent="0.35"/>
    <row r="31" spans="1:14" ht="18" customHeight="1" x14ac:dyDescent="0.35"/>
    <row r="32" spans="1:14"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mergeCells count="1">
    <mergeCell ref="A25:H2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BE009-57F6-4A85-B616-F75A705E8895}">
  <sheetPr>
    <tabColor rgb="FF92D050"/>
  </sheetPr>
  <dimension ref="A1:N377"/>
  <sheetViews>
    <sheetView showGridLines="0" zoomScale="70" zoomScaleNormal="70" workbookViewId="0">
      <pane ySplit="4" topLeftCell="A12" activePane="bottomLeft" state="frozen"/>
      <selection activeCell="A363" sqref="A363"/>
      <selection pane="bottomLeft" activeCell="D2" sqref="D2"/>
    </sheetView>
  </sheetViews>
  <sheetFormatPr defaultRowHeight="15.5" x14ac:dyDescent="0.35"/>
  <cols>
    <col min="1" max="1" width="8.7265625" style="2"/>
    <col min="2" max="2" width="15.7265625" style="2" customWidth="1"/>
    <col min="3" max="3" width="4" style="2" customWidth="1"/>
    <col min="4" max="4" width="66.08984375" style="2" customWidth="1"/>
    <col min="5" max="16384" width="8.7265625" style="2"/>
  </cols>
  <sheetData>
    <row r="1" spans="1:5" s="6" customFormat="1" ht="18" customHeight="1" x14ac:dyDescent="0.35">
      <c r="A1" s="6" t="s">
        <v>481</v>
      </c>
    </row>
    <row r="2" spans="1:5" s="6" customFormat="1" ht="18" customHeight="1" x14ac:dyDescent="0.35"/>
    <row r="3" spans="1:5" ht="18" customHeight="1" x14ac:dyDescent="0.35"/>
    <row r="4" spans="1:5" s="221" customFormat="1" ht="18" customHeight="1" x14ac:dyDescent="0.35">
      <c r="A4" s="220" t="s">
        <v>479</v>
      </c>
      <c r="B4" s="115"/>
      <c r="C4" s="115"/>
      <c r="D4" s="115"/>
    </row>
    <row r="5" spans="1:5" ht="18" customHeight="1" x14ac:dyDescent="0.35"/>
    <row r="6" spans="1:5" ht="18" customHeight="1" x14ac:dyDescent="0.35">
      <c r="A6" s="222" t="s">
        <v>437</v>
      </c>
      <c r="B6" s="222"/>
      <c r="C6" s="222"/>
      <c r="D6" s="222"/>
      <c r="E6" s="222"/>
    </row>
    <row r="7" spans="1:5" ht="18" customHeight="1" x14ac:dyDescent="0.55000000000000004">
      <c r="A7" s="223" t="s">
        <v>480</v>
      </c>
      <c r="B7" s="223"/>
      <c r="C7" s="223"/>
      <c r="D7" s="223"/>
      <c r="E7" s="224">
        <v>820.51</v>
      </c>
    </row>
    <row r="8" spans="1:5" ht="18" customHeight="1" x14ac:dyDescent="0.35"/>
    <row r="9" spans="1:5" ht="18" customHeight="1" x14ac:dyDescent="0.35">
      <c r="A9" s="222" t="s">
        <v>438</v>
      </c>
      <c r="B9" s="222"/>
      <c r="C9" s="222"/>
      <c r="D9" s="222"/>
      <c r="E9" s="222"/>
    </row>
    <row r="10" spans="1:5" ht="18" customHeight="1" x14ac:dyDescent="0.55000000000000004">
      <c r="A10" s="223" t="s">
        <v>434</v>
      </c>
      <c r="B10" s="223"/>
      <c r="C10" s="223"/>
      <c r="D10" s="223"/>
      <c r="E10" s="224">
        <v>150</v>
      </c>
    </row>
    <row r="11" spans="1:5" ht="18" customHeight="1" x14ac:dyDescent="0.55000000000000004">
      <c r="A11" s="223"/>
      <c r="B11" s="223"/>
      <c r="C11" s="223"/>
      <c r="D11" s="223"/>
      <c r="E11" s="224"/>
    </row>
    <row r="12" spans="1:5" ht="18" customHeight="1" x14ac:dyDescent="0.35">
      <c r="A12" s="222" t="s">
        <v>439</v>
      </c>
      <c r="B12" s="222"/>
      <c r="C12" s="222"/>
      <c r="D12" s="222"/>
      <c r="E12" s="222"/>
    </row>
    <row r="13" spans="1:5" ht="18" customHeight="1" x14ac:dyDescent="0.55000000000000004">
      <c r="A13" s="223" t="s">
        <v>436</v>
      </c>
      <c r="B13" s="223"/>
      <c r="C13" s="223"/>
      <c r="D13" s="223"/>
      <c r="E13" s="224">
        <v>1000</v>
      </c>
    </row>
    <row r="14" spans="1:5" ht="18" customHeight="1" x14ac:dyDescent="0.55000000000000004">
      <c r="A14" s="223"/>
      <c r="B14" s="223"/>
      <c r="C14" s="223"/>
      <c r="D14" s="223"/>
      <c r="E14" s="223"/>
    </row>
    <row r="15" spans="1:5" ht="18" customHeight="1" x14ac:dyDescent="0.35">
      <c r="A15" s="222" t="s">
        <v>440</v>
      </c>
      <c r="B15" s="222"/>
      <c r="C15" s="222"/>
      <c r="D15" s="222"/>
      <c r="E15" s="222"/>
    </row>
    <row r="16" spans="1:5" ht="18" customHeight="1" x14ac:dyDescent="0.35">
      <c r="A16" s="225" t="s">
        <v>478</v>
      </c>
      <c r="B16" s="226"/>
      <c r="C16" s="226"/>
      <c r="D16" s="226"/>
      <c r="E16" s="224">
        <v>700</v>
      </c>
    </row>
    <row r="17" spans="1:14" ht="18" customHeight="1" x14ac:dyDescent="0.35">
      <c r="A17" s="225"/>
      <c r="B17" s="226"/>
      <c r="C17" s="226"/>
      <c r="D17" s="226"/>
      <c r="F17" s="227"/>
      <c r="G17" s="226"/>
      <c r="H17" s="226"/>
      <c r="I17" s="226"/>
      <c r="J17" s="228"/>
      <c r="K17" s="228"/>
      <c r="L17" s="228"/>
      <c r="M17" s="228"/>
      <c r="N17" s="228"/>
    </row>
    <row r="18" spans="1:14" ht="18" customHeight="1" x14ac:dyDescent="0.35"/>
    <row r="19" spans="1:14" ht="18" customHeight="1" x14ac:dyDescent="0.35"/>
    <row r="20" spans="1:14" ht="18" customHeight="1" x14ac:dyDescent="0.35"/>
    <row r="21" spans="1:14" ht="18" customHeight="1" x14ac:dyDescent="0.35"/>
    <row r="22" spans="1:14" ht="18" customHeight="1" x14ac:dyDescent="0.35"/>
    <row r="23" spans="1:14" ht="18" customHeight="1" x14ac:dyDescent="0.35"/>
    <row r="24" spans="1:14" ht="18" customHeight="1" x14ac:dyDescent="0.35"/>
    <row r="25" spans="1:14" ht="18" customHeight="1" x14ac:dyDescent="0.35">
      <c r="A25" s="261" t="s">
        <v>533</v>
      </c>
      <c r="B25" s="261"/>
      <c r="C25" s="261"/>
      <c r="D25" s="261"/>
      <c r="E25" s="261"/>
      <c r="F25" s="261"/>
      <c r="G25" s="261"/>
      <c r="H25" s="261"/>
    </row>
    <row r="26" spans="1:14" ht="18" customHeight="1" x14ac:dyDescent="0.35">
      <c r="A26" s="261"/>
      <c r="B26" s="261"/>
      <c r="C26" s="261"/>
      <c r="D26" s="261"/>
      <c r="E26" s="261"/>
      <c r="F26" s="261"/>
      <c r="G26" s="261"/>
      <c r="H26" s="261"/>
    </row>
    <row r="27" spans="1:14" ht="18" customHeight="1" x14ac:dyDescent="0.35">
      <c r="A27" s="261"/>
      <c r="B27" s="261"/>
      <c r="C27" s="261"/>
      <c r="D27" s="261"/>
      <c r="E27" s="261"/>
      <c r="F27" s="261"/>
      <c r="G27" s="261"/>
      <c r="H27" s="261"/>
    </row>
    <row r="28" spans="1:14" ht="18" customHeight="1" x14ac:dyDescent="0.35"/>
    <row r="29" spans="1:14" ht="18" customHeight="1" x14ac:dyDescent="0.35"/>
    <row r="30" spans="1:14" ht="18" customHeight="1" x14ac:dyDescent="0.35"/>
    <row r="31" spans="1:14" ht="18" customHeight="1" x14ac:dyDescent="0.35"/>
    <row r="32" spans="1:14"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mergeCells count="1">
    <mergeCell ref="A25:H27"/>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V377"/>
  <sheetViews>
    <sheetView showGridLines="0" zoomScale="70" zoomScaleNormal="70" workbookViewId="0">
      <pane ySplit="2" topLeftCell="A3" activePane="bottomLeft" state="frozen"/>
      <selection activeCell="A363" sqref="A363"/>
      <selection pane="bottomLeft" activeCell="A6" sqref="A6"/>
    </sheetView>
  </sheetViews>
  <sheetFormatPr defaultRowHeight="15.5" x14ac:dyDescent="0.35"/>
  <cols>
    <col min="1" max="2" width="8.7265625" style="2"/>
    <col min="3" max="3" width="2.26953125" style="2" customWidth="1"/>
    <col min="4" max="7" width="8.7265625" style="2"/>
    <col min="8" max="8" width="14.81640625" style="2" customWidth="1"/>
    <col min="9" max="9" width="13.08984375" style="2" customWidth="1"/>
    <col min="10" max="10" width="18.26953125" style="2" customWidth="1"/>
    <col min="11" max="11" width="10.7265625" style="2" customWidth="1"/>
    <col min="12" max="12" width="12.08984375" style="2" customWidth="1"/>
    <col min="13" max="13" width="4.1796875" style="2" customWidth="1"/>
    <col min="14" max="14" width="10.7265625" style="2" customWidth="1"/>
    <col min="15" max="16384" width="8.7265625" style="2"/>
  </cols>
  <sheetData>
    <row r="1" spans="1:22" ht="18" customHeight="1" x14ac:dyDescent="0.35">
      <c r="A1" s="6" t="s">
        <v>307</v>
      </c>
      <c r="B1" s="6"/>
      <c r="C1" s="215"/>
      <c r="D1" s="215"/>
      <c r="E1" s="215"/>
      <c r="F1" s="6"/>
      <c r="G1" s="140" t="s">
        <v>482</v>
      </c>
      <c r="H1" s="140"/>
      <c r="I1" s="140"/>
      <c r="J1" s="140"/>
      <c r="K1" s="140"/>
      <c r="L1" s="140"/>
      <c r="M1" s="140"/>
      <c r="N1" s="140"/>
      <c r="O1" s="140"/>
      <c r="P1" s="140"/>
      <c r="Q1"/>
      <c r="R1"/>
      <c r="S1"/>
      <c r="T1"/>
      <c r="U1"/>
      <c r="V1"/>
    </row>
    <row r="2" spans="1:22" ht="18" customHeight="1" x14ac:dyDescent="0.35">
      <c r="B2"/>
      <c r="C2"/>
      <c r="D2"/>
      <c r="E2"/>
      <c r="F2"/>
      <c r="G2"/>
      <c r="H2"/>
      <c r="I2"/>
      <c r="J2"/>
      <c r="K2"/>
      <c r="Q2"/>
      <c r="R2"/>
      <c r="S2"/>
      <c r="T2"/>
      <c r="U2"/>
      <c r="V2"/>
    </row>
    <row r="3" spans="1:22" ht="18" customHeight="1" x14ac:dyDescent="0.35"/>
    <row r="4" spans="1:22" ht="18" customHeight="1" x14ac:dyDescent="0.35">
      <c r="B4" s="6" t="s">
        <v>483</v>
      </c>
    </row>
    <row r="5" spans="1:22" ht="18" customHeight="1" x14ac:dyDescent="0.35">
      <c r="B5" s="2" t="s">
        <v>251</v>
      </c>
    </row>
    <row r="6" spans="1:22" ht="18" customHeight="1" x14ac:dyDescent="0.35"/>
    <row r="7" spans="1:22" ht="18" customHeight="1" x14ac:dyDescent="0.35">
      <c r="B7" s="6" t="s">
        <v>252</v>
      </c>
    </row>
    <row r="8" spans="1:22" ht="18" customHeight="1" x14ac:dyDescent="0.35">
      <c r="B8" s="2" t="s">
        <v>253</v>
      </c>
    </row>
    <row r="9" spans="1:22" ht="18" customHeight="1" x14ac:dyDescent="0.35">
      <c r="B9" s="2" t="s">
        <v>254</v>
      </c>
    </row>
    <row r="10" spans="1:22" ht="18" customHeight="1" x14ac:dyDescent="0.35"/>
    <row r="11" spans="1:22" ht="18" customHeight="1" x14ac:dyDescent="0.35">
      <c r="B11" s="6" t="s">
        <v>255</v>
      </c>
    </row>
    <row r="12" spans="1:22" ht="18" customHeight="1" x14ac:dyDescent="0.35">
      <c r="B12" s="2" t="s">
        <v>484</v>
      </c>
    </row>
    <row r="13" spans="1:22" ht="18" customHeight="1" x14ac:dyDescent="0.35"/>
    <row r="14" spans="1:22" ht="18" customHeight="1" x14ac:dyDescent="0.35">
      <c r="I14" s="229" t="s">
        <v>257</v>
      </c>
      <c r="J14" s="229"/>
      <c r="K14" s="229"/>
    </row>
    <row r="15" spans="1:22" ht="18" customHeight="1" x14ac:dyDescent="0.35"/>
    <row r="16" spans="1:22" ht="18" customHeight="1" x14ac:dyDescent="0.35">
      <c r="B16" s="6" t="s">
        <v>256</v>
      </c>
      <c r="D16" s="2" t="s">
        <v>278</v>
      </c>
      <c r="I16" s="88"/>
      <c r="J16" s="14"/>
      <c r="K16" s="14"/>
      <c r="L16" s="14"/>
      <c r="M16" s="14"/>
      <c r="N16" s="14"/>
      <c r="O16" s="14"/>
      <c r="P16" s="14"/>
    </row>
    <row r="17" spans="2:16" ht="18" customHeight="1" x14ac:dyDescent="0.35">
      <c r="B17" s="6"/>
    </row>
    <row r="18" spans="2:16" ht="18" customHeight="1" x14ac:dyDescent="0.35"/>
    <row r="19" spans="2:16" ht="18" customHeight="1" x14ac:dyDescent="0.35"/>
    <row r="20" spans="2:16" ht="18" customHeight="1" x14ac:dyDescent="0.35">
      <c r="D20" s="2" t="s">
        <v>279</v>
      </c>
      <c r="I20" s="137" t="s">
        <v>441</v>
      </c>
    </row>
    <row r="21" spans="2:16" ht="18" customHeight="1" x14ac:dyDescent="0.35">
      <c r="D21" s="2" t="s">
        <v>258</v>
      </c>
      <c r="I21" s="137" t="s">
        <v>441</v>
      </c>
    </row>
    <row r="22" spans="2:16" ht="18" customHeight="1" x14ac:dyDescent="0.35"/>
    <row r="23" spans="2:16" ht="18" customHeight="1" x14ac:dyDescent="0.35"/>
    <row r="24" spans="2:16" ht="18" customHeight="1" thickBot="1" x14ac:dyDescent="0.4">
      <c r="D24" s="2" t="s">
        <v>259</v>
      </c>
      <c r="I24" s="71"/>
      <c r="J24" s="71"/>
      <c r="K24" s="71"/>
      <c r="L24" s="71"/>
      <c r="M24" s="71"/>
      <c r="N24" s="71"/>
      <c r="O24" s="71"/>
      <c r="P24" s="71"/>
    </row>
    <row r="25" spans="2:16" ht="18" customHeight="1" x14ac:dyDescent="0.35"/>
    <row r="26" spans="2:16" ht="18" customHeight="1" thickBot="1" x14ac:dyDescent="0.4">
      <c r="D26" s="2" t="s">
        <v>260</v>
      </c>
      <c r="I26" s="230"/>
      <c r="J26" s="230"/>
      <c r="K26" s="230"/>
      <c r="L26" s="230"/>
    </row>
    <row r="27" spans="2:16" ht="18" customHeight="1" x14ac:dyDescent="0.35"/>
    <row r="28" spans="2:16" ht="18" customHeight="1" thickBot="1" x14ac:dyDescent="0.4">
      <c r="D28" s="2" t="s">
        <v>261</v>
      </c>
      <c r="I28" s="71"/>
      <c r="J28" s="71"/>
      <c r="K28" s="71"/>
      <c r="L28" s="71"/>
      <c r="M28" s="71"/>
      <c r="N28" s="71"/>
      <c r="O28" s="71"/>
      <c r="P28" s="71"/>
    </row>
    <row r="29" spans="2:16" ht="18" customHeight="1" x14ac:dyDescent="0.35"/>
    <row r="30" spans="2:16" ht="18" customHeight="1" thickBot="1" x14ac:dyDescent="0.4">
      <c r="I30" s="2" t="s">
        <v>183</v>
      </c>
      <c r="J30" s="71"/>
      <c r="K30" s="71"/>
      <c r="L30" s="71"/>
      <c r="N30" s="2" t="s">
        <v>184</v>
      </c>
      <c r="O30" s="14"/>
      <c r="P30" s="231"/>
    </row>
    <row r="31" spans="2:16" ht="18" customHeight="1" x14ac:dyDescent="0.35"/>
    <row r="32" spans="2:16" ht="18" customHeight="1" x14ac:dyDescent="0.35"/>
    <row r="33" spans="2:14" ht="18" customHeight="1" x14ac:dyDescent="0.35"/>
    <row r="34" spans="2:14" ht="18" customHeight="1" x14ac:dyDescent="0.35">
      <c r="B34" s="6" t="s">
        <v>262</v>
      </c>
      <c r="F34" s="2" t="s">
        <v>402</v>
      </c>
      <c r="H34" s="125"/>
    </row>
    <row r="35" spans="2:14" ht="18" customHeight="1" x14ac:dyDescent="0.35">
      <c r="F35" s="17" t="s">
        <v>485</v>
      </c>
    </row>
    <row r="36" spans="2:14" ht="18" customHeight="1" x14ac:dyDescent="0.35">
      <c r="F36" s="17"/>
    </row>
    <row r="37" spans="2:14" ht="18" customHeight="1" x14ac:dyDescent="0.35">
      <c r="B37" s="6" t="s">
        <v>263</v>
      </c>
    </row>
    <row r="38" spans="2:14" ht="18" customHeight="1" x14ac:dyDescent="0.35">
      <c r="D38" s="2" t="s">
        <v>264</v>
      </c>
      <c r="L38" s="137" t="s">
        <v>441</v>
      </c>
      <c r="N38"/>
    </row>
    <row r="39" spans="2:14" ht="18" customHeight="1" x14ac:dyDescent="0.35">
      <c r="D39" s="2" t="s">
        <v>265</v>
      </c>
    </row>
    <row r="40" spans="2:14" ht="18" customHeight="1" x14ac:dyDescent="0.35"/>
    <row r="41" spans="2:14" ht="18" customHeight="1" x14ac:dyDescent="0.35">
      <c r="B41" s="6" t="s">
        <v>3</v>
      </c>
    </row>
    <row r="42" spans="2:14" ht="18" customHeight="1" x14ac:dyDescent="0.35">
      <c r="B42" s="6" t="s">
        <v>266</v>
      </c>
      <c r="D42" s="6" t="s">
        <v>267</v>
      </c>
    </row>
    <row r="43" spans="2:14" ht="18" customHeight="1" x14ac:dyDescent="0.35">
      <c r="D43" s="2" t="s">
        <v>486</v>
      </c>
    </row>
    <row r="44" spans="2:14" ht="18" customHeight="1" x14ac:dyDescent="0.35">
      <c r="D44" s="2" t="s">
        <v>268</v>
      </c>
    </row>
    <row r="45" spans="2:14" ht="18" customHeight="1" x14ac:dyDescent="0.35">
      <c r="D45" s="2" t="s">
        <v>273</v>
      </c>
    </row>
    <row r="46" spans="2:14" ht="18" customHeight="1" x14ac:dyDescent="0.35">
      <c r="D46" s="2" t="s">
        <v>487</v>
      </c>
    </row>
    <row r="47" spans="2:14" ht="18" customHeight="1" x14ac:dyDescent="0.35"/>
    <row r="48" spans="2:14" ht="18" customHeight="1" x14ac:dyDescent="0.35">
      <c r="B48" s="6" t="s">
        <v>269</v>
      </c>
    </row>
    <row r="49" spans="1:14" ht="18" customHeight="1" x14ac:dyDescent="0.35">
      <c r="N49" s="18" t="s">
        <v>488</v>
      </c>
    </row>
    <row r="50" spans="1:14" ht="18" customHeight="1" x14ac:dyDescent="0.35">
      <c r="D50" s="2" t="s">
        <v>270</v>
      </c>
      <c r="K50"/>
      <c r="L50" s="137" t="s">
        <v>441</v>
      </c>
      <c r="N50" s="15"/>
    </row>
    <row r="51" spans="1:14" ht="18" customHeight="1" x14ac:dyDescent="0.35">
      <c r="D51" s="2" t="s">
        <v>271</v>
      </c>
      <c r="K51"/>
      <c r="L51" s="137" t="s">
        <v>441</v>
      </c>
      <c r="N51" s="54"/>
    </row>
    <row r="52" spans="1:14" ht="18" customHeight="1" x14ac:dyDescent="0.35">
      <c r="D52" s="2" t="s">
        <v>277</v>
      </c>
      <c r="K52"/>
      <c r="L52" s="137" t="s">
        <v>441</v>
      </c>
      <c r="N52" s="15"/>
    </row>
    <row r="53" spans="1:14" ht="18" customHeight="1" x14ac:dyDescent="0.35">
      <c r="D53" s="2" t="s">
        <v>272</v>
      </c>
      <c r="K53"/>
      <c r="L53" s="137" t="s">
        <v>441</v>
      </c>
      <c r="N53" s="15"/>
    </row>
    <row r="54" spans="1:14" ht="18" customHeight="1" x14ac:dyDescent="0.35">
      <c r="D54" s="2" t="s">
        <v>274</v>
      </c>
      <c r="K54"/>
      <c r="L54" s="137" t="s">
        <v>441</v>
      </c>
      <c r="N54" s="15"/>
    </row>
    <row r="55" spans="1:14" ht="18" customHeight="1" x14ac:dyDescent="0.35">
      <c r="D55" s="2" t="s">
        <v>275</v>
      </c>
      <c r="K55"/>
      <c r="L55" s="137" t="s">
        <v>441</v>
      </c>
      <c r="N55" s="15"/>
    </row>
    <row r="56" spans="1:14" ht="18" customHeight="1" x14ac:dyDescent="0.35">
      <c r="D56" s="2" t="s">
        <v>276</v>
      </c>
      <c r="K56"/>
      <c r="L56" s="137" t="s">
        <v>441</v>
      </c>
      <c r="N56" s="15"/>
    </row>
    <row r="57" spans="1:14" ht="18" customHeight="1" x14ac:dyDescent="0.35">
      <c r="K57"/>
    </row>
    <row r="58" spans="1:14" ht="18" customHeight="1" x14ac:dyDescent="0.35">
      <c r="A58" s="261" t="s">
        <v>533</v>
      </c>
      <c r="B58" s="261"/>
      <c r="C58" s="261"/>
      <c r="D58" s="261"/>
      <c r="E58" s="261"/>
      <c r="F58" s="261"/>
      <c r="G58" s="261"/>
      <c r="H58" s="261"/>
      <c r="I58" s="261"/>
      <c r="J58" s="261"/>
    </row>
    <row r="59" spans="1:14" ht="18" customHeight="1" x14ac:dyDescent="0.35">
      <c r="A59" s="261"/>
      <c r="B59" s="261"/>
      <c r="C59" s="261"/>
      <c r="D59" s="261"/>
      <c r="E59" s="261"/>
      <c r="F59" s="261"/>
      <c r="G59" s="261"/>
      <c r="H59" s="261"/>
      <c r="I59" s="261"/>
      <c r="J59" s="261"/>
    </row>
    <row r="60" spans="1:14" ht="18" customHeight="1" x14ac:dyDescent="0.35">
      <c r="A60" s="261"/>
      <c r="B60" s="261"/>
      <c r="C60" s="261"/>
      <c r="D60" s="261"/>
      <c r="E60" s="261"/>
      <c r="F60" s="261"/>
      <c r="G60" s="261"/>
      <c r="H60" s="261"/>
      <c r="I60" s="261"/>
      <c r="J60" s="261"/>
    </row>
    <row r="61" spans="1:14" ht="18" customHeight="1" x14ac:dyDescent="0.35"/>
    <row r="62" spans="1:14" ht="18" customHeight="1" x14ac:dyDescent="0.35"/>
    <row r="63" spans="1:14" ht="18" customHeight="1" x14ac:dyDescent="0.35"/>
    <row r="64" spans="1:1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mergeCells count="1">
    <mergeCell ref="A58:J6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1AE3-7A9A-4496-882C-4873CA49A7C8}">
  <sheetPr>
    <tabColor rgb="FF92D050"/>
  </sheetPr>
  <dimension ref="A1:V377"/>
  <sheetViews>
    <sheetView showGridLines="0" zoomScale="70" zoomScaleNormal="70" workbookViewId="0">
      <pane ySplit="2" topLeftCell="A3" activePane="bottomLeft" state="frozen"/>
      <selection activeCell="A363" sqref="A363"/>
      <selection pane="bottomLeft" activeCell="A7" sqref="A7"/>
    </sheetView>
  </sheetViews>
  <sheetFormatPr defaultRowHeight="15.5" x14ac:dyDescent="0.35"/>
  <cols>
    <col min="1" max="2" width="8.7265625" style="2"/>
    <col min="3" max="3" width="2.26953125" style="2" customWidth="1"/>
    <col min="4" max="7" width="8.7265625" style="2"/>
    <col min="8" max="8" width="14.81640625" style="2" customWidth="1"/>
    <col min="9" max="9" width="13.08984375" style="2" customWidth="1"/>
    <col min="10" max="10" width="18.26953125" style="2" customWidth="1"/>
    <col min="11" max="11" width="10.7265625" style="2" customWidth="1"/>
    <col min="12" max="12" width="12.08984375" style="2" customWidth="1"/>
    <col min="13" max="13" width="4.1796875" style="2" customWidth="1"/>
    <col min="14" max="14" width="10.7265625" style="2" customWidth="1"/>
    <col min="15" max="16384" width="8.7265625" style="2"/>
  </cols>
  <sheetData>
    <row r="1" spans="1:22" ht="18" customHeight="1" x14ac:dyDescent="0.35">
      <c r="A1" s="6" t="s">
        <v>489</v>
      </c>
      <c r="B1" s="6"/>
      <c r="C1" s="215"/>
      <c r="D1" s="215"/>
      <c r="E1" s="215"/>
      <c r="F1" s="6"/>
      <c r="G1" s="140" t="s">
        <v>482</v>
      </c>
      <c r="H1" s="140"/>
      <c r="I1" s="140"/>
      <c r="J1" s="140"/>
      <c r="K1" s="140"/>
      <c r="L1" s="140"/>
      <c r="M1" s="140"/>
      <c r="N1" s="140"/>
      <c r="O1" s="140"/>
      <c r="P1" s="140"/>
      <c r="Q1"/>
      <c r="R1"/>
      <c r="S1"/>
      <c r="T1"/>
      <c r="U1"/>
      <c r="V1"/>
    </row>
    <row r="2" spans="1:22" ht="18" customHeight="1" x14ac:dyDescent="0.35">
      <c r="B2"/>
      <c r="C2"/>
      <c r="D2"/>
      <c r="E2"/>
      <c r="F2"/>
      <c r="G2"/>
      <c r="H2"/>
      <c r="I2"/>
      <c r="J2"/>
      <c r="K2"/>
      <c r="Q2"/>
      <c r="R2"/>
      <c r="S2"/>
      <c r="T2"/>
      <c r="U2"/>
      <c r="V2"/>
    </row>
    <row r="3" spans="1:22" ht="18" customHeight="1" x14ac:dyDescent="0.35"/>
    <row r="4" spans="1:22" ht="18" customHeight="1" x14ac:dyDescent="0.35">
      <c r="B4" s="6" t="s">
        <v>483</v>
      </c>
    </row>
    <row r="5" spans="1:22" ht="18" customHeight="1" x14ac:dyDescent="0.35">
      <c r="B5" s="2" t="s">
        <v>251</v>
      </c>
    </row>
    <row r="6" spans="1:22" ht="18" customHeight="1" x14ac:dyDescent="0.35"/>
    <row r="7" spans="1:22" ht="18" customHeight="1" x14ac:dyDescent="0.35">
      <c r="B7" s="6" t="s">
        <v>252</v>
      </c>
    </row>
    <row r="8" spans="1:22" ht="18" customHeight="1" x14ac:dyDescent="0.35">
      <c r="B8" s="2" t="s">
        <v>253</v>
      </c>
    </row>
    <row r="9" spans="1:22" ht="18" customHeight="1" x14ac:dyDescent="0.35">
      <c r="B9" s="2" t="s">
        <v>254</v>
      </c>
    </row>
    <row r="10" spans="1:22" ht="18" customHeight="1" x14ac:dyDescent="0.35"/>
    <row r="11" spans="1:22" ht="18" customHeight="1" x14ac:dyDescent="0.35">
      <c r="B11" s="6" t="s">
        <v>255</v>
      </c>
    </row>
    <row r="12" spans="1:22" ht="18" customHeight="1" x14ac:dyDescent="0.35">
      <c r="B12" s="2" t="s">
        <v>484</v>
      </c>
    </row>
    <row r="13" spans="1:22" ht="18" customHeight="1" x14ac:dyDescent="0.35"/>
    <row r="14" spans="1:22" ht="18" customHeight="1" x14ac:dyDescent="0.35">
      <c r="I14" s="229" t="s">
        <v>257</v>
      </c>
      <c r="J14" s="229"/>
      <c r="K14" s="229"/>
    </row>
    <row r="15" spans="1:22" ht="18" customHeight="1" x14ac:dyDescent="0.35"/>
    <row r="16" spans="1:22" ht="18" customHeight="1" x14ac:dyDescent="0.35">
      <c r="B16" s="6" t="s">
        <v>256</v>
      </c>
      <c r="D16" s="2" t="s">
        <v>278</v>
      </c>
      <c r="I16" s="88"/>
      <c r="J16" s="14"/>
      <c r="K16" s="14"/>
      <c r="L16" s="14"/>
      <c r="M16" s="14"/>
      <c r="N16" s="14"/>
      <c r="O16" s="14"/>
      <c r="P16" s="14"/>
    </row>
    <row r="17" spans="2:16" ht="18" customHeight="1" x14ac:dyDescent="0.35">
      <c r="B17" s="6"/>
    </row>
    <row r="18" spans="2:16" ht="18" customHeight="1" x14ac:dyDescent="0.35"/>
    <row r="19" spans="2:16" ht="18" customHeight="1" x14ac:dyDescent="0.35"/>
    <row r="20" spans="2:16" ht="18" customHeight="1" x14ac:dyDescent="0.35">
      <c r="D20" s="2" t="s">
        <v>279</v>
      </c>
      <c r="I20" s="137" t="s">
        <v>441</v>
      </c>
    </row>
    <row r="21" spans="2:16" ht="18" customHeight="1" x14ac:dyDescent="0.35">
      <c r="D21" s="2" t="s">
        <v>258</v>
      </c>
      <c r="I21" s="137" t="s">
        <v>441</v>
      </c>
    </row>
    <row r="22" spans="2:16" ht="18" customHeight="1" x14ac:dyDescent="0.35"/>
    <row r="23" spans="2:16" ht="18" customHeight="1" x14ac:dyDescent="0.35"/>
    <row r="24" spans="2:16" ht="18" customHeight="1" thickBot="1" x14ac:dyDescent="0.4">
      <c r="D24" s="2" t="s">
        <v>259</v>
      </c>
      <c r="I24" s="71"/>
      <c r="J24" s="71"/>
      <c r="K24" s="71"/>
      <c r="L24" s="71"/>
      <c r="M24" s="71"/>
      <c r="N24" s="71"/>
      <c r="O24" s="71"/>
      <c r="P24" s="71"/>
    </row>
    <row r="25" spans="2:16" ht="18" customHeight="1" x14ac:dyDescent="0.35"/>
    <row r="26" spans="2:16" ht="18" customHeight="1" thickBot="1" x14ac:dyDescent="0.4">
      <c r="D26" s="2" t="s">
        <v>260</v>
      </c>
      <c r="I26" s="230"/>
      <c r="J26" s="230"/>
      <c r="K26" s="230"/>
      <c r="L26" s="230"/>
    </row>
    <row r="27" spans="2:16" ht="18" customHeight="1" x14ac:dyDescent="0.35"/>
    <row r="28" spans="2:16" ht="18" customHeight="1" thickBot="1" x14ac:dyDescent="0.4">
      <c r="D28" s="2" t="s">
        <v>261</v>
      </c>
      <c r="I28" s="71"/>
      <c r="J28" s="71"/>
      <c r="K28" s="71"/>
      <c r="L28" s="71"/>
      <c r="M28" s="71"/>
      <c r="N28" s="71"/>
      <c r="O28" s="71"/>
      <c r="P28" s="71"/>
    </row>
    <row r="29" spans="2:16" ht="18" customHeight="1" x14ac:dyDescent="0.35"/>
    <row r="30" spans="2:16" ht="18" customHeight="1" thickBot="1" x14ac:dyDescent="0.4">
      <c r="I30" s="2" t="s">
        <v>183</v>
      </c>
      <c r="J30" s="71"/>
      <c r="K30" s="71"/>
      <c r="L30" s="71"/>
      <c r="N30" s="2" t="s">
        <v>184</v>
      </c>
      <c r="O30" s="14"/>
      <c r="P30" s="231"/>
    </row>
    <row r="31" spans="2:16" ht="18" customHeight="1" x14ac:dyDescent="0.35"/>
    <row r="32" spans="2:16" ht="18" customHeight="1" x14ac:dyDescent="0.35"/>
    <row r="33" spans="2:14" ht="18" customHeight="1" x14ac:dyDescent="0.35"/>
    <row r="34" spans="2:14" ht="18" customHeight="1" x14ac:dyDescent="0.35">
      <c r="B34" s="6" t="s">
        <v>262</v>
      </c>
      <c r="F34" s="2" t="s">
        <v>402</v>
      </c>
      <c r="H34" s="125"/>
    </row>
    <row r="35" spans="2:14" ht="18" customHeight="1" x14ac:dyDescent="0.35">
      <c r="F35" s="17" t="s">
        <v>485</v>
      </c>
    </row>
    <row r="36" spans="2:14" ht="18" customHeight="1" x14ac:dyDescent="0.35">
      <c r="F36" s="17"/>
    </row>
    <row r="37" spans="2:14" ht="18" customHeight="1" x14ac:dyDescent="0.35">
      <c r="B37" s="6" t="s">
        <v>263</v>
      </c>
    </row>
    <row r="38" spans="2:14" ht="18" customHeight="1" x14ac:dyDescent="0.35">
      <c r="D38" s="2" t="s">
        <v>264</v>
      </c>
      <c r="L38" s="137" t="s">
        <v>441</v>
      </c>
      <c r="N38"/>
    </row>
    <row r="39" spans="2:14" ht="18" customHeight="1" x14ac:dyDescent="0.35">
      <c r="D39" s="2" t="s">
        <v>265</v>
      </c>
    </row>
    <row r="40" spans="2:14" ht="18" customHeight="1" x14ac:dyDescent="0.35"/>
    <row r="41" spans="2:14" ht="18" customHeight="1" x14ac:dyDescent="0.35">
      <c r="B41" s="6" t="s">
        <v>3</v>
      </c>
    </row>
    <row r="42" spans="2:14" ht="18" customHeight="1" x14ac:dyDescent="0.35">
      <c r="B42" s="6" t="s">
        <v>266</v>
      </c>
      <c r="D42" s="6" t="s">
        <v>267</v>
      </c>
    </row>
    <row r="43" spans="2:14" ht="18" customHeight="1" x14ac:dyDescent="0.35">
      <c r="D43" s="2" t="s">
        <v>486</v>
      </c>
    </row>
    <row r="44" spans="2:14" ht="18" customHeight="1" x14ac:dyDescent="0.35">
      <c r="D44" s="2" t="s">
        <v>268</v>
      </c>
    </row>
    <row r="45" spans="2:14" ht="18" customHeight="1" x14ac:dyDescent="0.35">
      <c r="D45" s="2" t="s">
        <v>273</v>
      </c>
    </row>
    <row r="46" spans="2:14" ht="18" customHeight="1" x14ac:dyDescent="0.35">
      <c r="D46" s="2" t="s">
        <v>487</v>
      </c>
    </row>
    <row r="47" spans="2:14" ht="18" customHeight="1" x14ac:dyDescent="0.35"/>
    <row r="48" spans="2:14" ht="18" customHeight="1" x14ac:dyDescent="0.35">
      <c r="B48" s="6" t="s">
        <v>269</v>
      </c>
    </row>
    <row r="49" spans="1:14" ht="18" customHeight="1" x14ac:dyDescent="0.35">
      <c r="N49" s="18" t="s">
        <v>488</v>
      </c>
    </row>
    <row r="50" spans="1:14" ht="18" customHeight="1" x14ac:dyDescent="0.35">
      <c r="D50" s="2" t="s">
        <v>270</v>
      </c>
      <c r="K50"/>
      <c r="L50" s="137" t="s">
        <v>441</v>
      </c>
      <c r="N50" s="15"/>
    </row>
    <row r="51" spans="1:14" ht="18" customHeight="1" x14ac:dyDescent="0.35">
      <c r="D51" s="2" t="s">
        <v>271</v>
      </c>
      <c r="K51"/>
      <c r="L51" s="137" t="s">
        <v>441</v>
      </c>
      <c r="N51" s="54"/>
    </row>
    <row r="52" spans="1:14" ht="18" customHeight="1" x14ac:dyDescent="0.35">
      <c r="D52" s="2" t="s">
        <v>277</v>
      </c>
      <c r="K52"/>
      <c r="L52" s="137" t="s">
        <v>441</v>
      </c>
      <c r="N52" s="15"/>
    </row>
    <row r="53" spans="1:14" ht="18" customHeight="1" x14ac:dyDescent="0.35">
      <c r="D53" s="2" t="s">
        <v>272</v>
      </c>
      <c r="K53"/>
      <c r="L53" s="137" t="s">
        <v>441</v>
      </c>
      <c r="N53" s="15"/>
    </row>
    <row r="54" spans="1:14" ht="18" customHeight="1" x14ac:dyDescent="0.35">
      <c r="D54" s="2" t="s">
        <v>274</v>
      </c>
      <c r="K54"/>
      <c r="L54" s="137" t="s">
        <v>441</v>
      </c>
      <c r="N54" s="15"/>
    </row>
    <row r="55" spans="1:14" ht="18" customHeight="1" x14ac:dyDescent="0.35">
      <c r="D55" s="2" t="s">
        <v>275</v>
      </c>
      <c r="K55"/>
      <c r="L55" s="137" t="s">
        <v>441</v>
      </c>
      <c r="N55" s="15"/>
    </row>
    <row r="56" spans="1:14" ht="18" customHeight="1" x14ac:dyDescent="0.35">
      <c r="D56" s="2" t="s">
        <v>276</v>
      </c>
      <c r="K56"/>
      <c r="L56" s="137" t="s">
        <v>441</v>
      </c>
      <c r="N56" s="15"/>
    </row>
    <row r="57" spans="1:14" ht="18" customHeight="1" x14ac:dyDescent="0.35">
      <c r="K57"/>
    </row>
    <row r="58" spans="1:14" ht="18" customHeight="1" x14ac:dyDescent="0.35">
      <c r="A58" s="261" t="s">
        <v>533</v>
      </c>
      <c r="B58" s="261"/>
      <c r="C58" s="261"/>
      <c r="D58" s="261"/>
      <c r="E58" s="261"/>
      <c r="F58" s="261"/>
      <c r="G58" s="261"/>
      <c r="H58" s="261"/>
      <c r="I58" s="261"/>
      <c r="J58" s="261"/>
    </row>
    <row r="59" spans="1:14" ht="18" customHeight="1" x14ac:dyDescent="0.35">
      <c r="A59" s="261"/>
      <c r="B59" s="261"/>
      <c r="C59" s="261"/>
      <c r="D59" s="261"/>
      <c r="E59" s="261"/>
      <c r="F59" s="261"/>
      <c r="G59" s="261"/>
      <c r="H59" s="261"/>
      <c r="I59" s="261"/>
      <c r="J59" s="261"/>
    </row>
    <row r="60" spans="1:14" ht="18" customHeight="1" x14ac:dyDescent="0.35">
      <c r="A60" s="261"/>
      <c r="B60" s="261"/>
      <c r="C60" s="261"/>
      <c r="D60" s="261"/>
      <c r="E60" s="261"/>
      <c r="F60" s="261"/>
      <c r="G60" s="261"/>
      <c r="H60" s="261"/>
      <c r="I60" s="261"/>
      <c r="J60" s="261"/>
    </row>
    <row r="61" spans="1:14" ht="18" customHeight="1" x14ac:dyDescent="0.35"/>
    <row r="62" spans="1:14" ht="18" customHeight="1" x14ac:dyDescent="0.35"/>
    <row r="63" spans="1:14" ht="18" customHeight="1" x14ac:dyDescent="0.35"/>
    <row r="64" spans="1:1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mergeCells count="1">
    <mergeCell ref="A58:J6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O377"/>
  <sheetViews>
    <sheetView showGridLines="0" zoomScale="70" zoomScaleNormal="70" workbookViewId="0">
      <pane ySplit="2" topLeftCell="A3" activePane="bottomLeft" state="frozen"/>
      <selection activeCell="A363" sqref="A363"/>
      <selection pane="bottomLeft" activeCell="C8" sqref="C8"/>
    </sheetView>
  </sheetViews>
  <sheetFormatPr defaultColWidth="8.81640625" defaultRowHeight="15.5" x14ac:dyDescent="0.35"/>
  <cols>
    <col min="1" max="1" width="33.54296875" style="2" customWidth="1"/>
    <col min="2" max="2" width="2.54296875" style="2" customWidth="1"/>
    <col min="3" max="3" width="29.26953125" style="8" customWidth="1"/>
    <col min="4" max="4" width="18" style="8" customWidth="1"/>
    <col min="5" max="5" width="13.26953125" style="8" customWidth="1"/>
    <col min="6" max="6" width="3.453125" style="2" customWidth="1"/>
    <col min="7" max="7" width="13.1796875" style="2" customWidth="1"/>
    <col min="8" max="8" width="4.453125" style="2" customWidth="1"/>
    <col min="9" max="9" width="8.81640625" style="2"/>
    <col min="10" max="10" width="14.54296875" style="2" customWidth="1"/>
    <col min="11" max="16384" width="8.81640625" style="2"/>
  </cols>
  <sheetData>
    <row r="1" spans="1:15" s="6" customFormat="1" ht="18" customHeight="1" x14ac:dyDescent="0.35">
      <c r="A1" s="6" t="s">
        <v>177</v>
      </c>
      <c r="C1" s="215"/>
      <c r="D1" s="215"/>
      <c r="E1" s="215"/>
    </row>
    <row r="2" spans="1:15" ht="18" customHeight="1" x14ac:dyDescent="0.35">
      <c r="A2" s="131"/>
      <c r="B2" s="47"/>
      <c r="C2" s="190"/>
      <c r="D2" s="232"/>
      <c r="E2" s="232"/>
      <c r="F2" s="233"/>
      <c r="G2" s="233"/>
      <c r="H2" s="47"/>
      <c r="I2" s="55"/>
      <c r="J2" s="55"/>
    </row>
    <row r="3" spans="1:15" ht="18" customHeight="1" x14ac:dyDescent="0.35">
      <c r="B3" s="47"/>
      <c r="C3" s="190"/>
      <c r="D3" s="190"/>
      <c r="E3" s="190"/>
      <c r="F3" s="47"/>
      <c r="G3" s="47"/>
      <c r="H3" s="194"/>
      <c r="I3" s="194"/>
      <c r="J3" s="194"/>
    </row>
    <row r="4" spans="1:15" ht="18" customHeight="1" x14ac:dyDescent="0.35">
      <c r="A4" s="6" t="s">
        <v>329</v>
      </c>
      <c r="B4" s="6"/>
      <c r="C4" s="215"/>
      <c r="D4" s="137" t="s">
        <v>441</v>
      </c>
      <c r="E4" s="25" t="s">
        <v>149</v>
      </c>
      <c r="F4" s="25"/>
      <c r="G4" s="25"/>
      <c r="H4" s="25"/>
      <c r="I4" s="25"/>
      <c r="J4" s="25"/>
      <c r="K4" s="25"/>
      <c r="L4" s="125"/>
      <c r="M4" s="125"/>
      <c r="N4" s="125"/>
      <c r="O4" s="125"/>
    </row>
    <row r="5" spans="1:15" ht="18" customHeight="1" x14ac:dyDescent="0.35">
      <c r="A5" s="6"/>
      <c r="B5" s="6"/>
      <c r="C5" s="215"/>
      <c r="D5" s="127"/>
      <c r="E5" s="25" t="s">
        <v>328</v>
      </c>
      <c r="F5" s="25"/>
      <c r="G5" s="25"/>
      <c r="H5" s="25"/>
      <c r="I5" s="25"/>
      <c r="J5" s="25"/>
      <c r="K5" s="25"/>
      <c r="L5" s="125"/>
      <c r="M5" s="125"/>
      <c r="N5" s="125"/>
      <c r="O5" s="125"/>
    </row>
    <row r="6" spans="1:15" ht="18" customHeight="1" x14ac:dyDescent="0.35">
      <c r="A6" s="6"/>
      <c r="B6" s="6"/>
      <c r="C6" s="215"/>
      <c r="D6" s="127"/>
      <c r="E6" s="25" t="s">
        <v>330</v>
      </c>
      <c r="J6" s="45"/>
    </row>
    <row r="7" spans="1:15" ht="18" customHeight="1" x14ac:dyDescent="0.35">
      <c r="A7" s="6"/>
      <c r="B7" s="6"/>
      <c r="C7" s="215"/>
      <c r="D7" s="127"/>
      <c r="E7" s="8" t="s">
        <v>491</v>
      </c>
      <c r="J7" s="45"/>
    </row>
    <row r="8" spans="1:15" ht="18" customHeight="1" x14ac:dyDescent="0.35">
      <c r="E8" s="2"/>
    </row>
    <row r="9" spans="1:15" ht="18" customHeight="1" x14ac:dyDescent="0.35"/>
    <row r="10" spans="1:15" ht="18" customHeight="1" x14ac:dyDescent="0.35">
      <c r="A10" s="6" t="s">
        <v>327</v>
      </c>
      <c r="D10" s="8" t="s">
        <v>490</v>
      </c>
    </row>
    <row r="11" spans="1:15" ht="18" customHeight="1" x14ac:dyDescent="0.35"/>
    <row r="12" spans="1:15" ht="18" customHeight="1" x14ac:dyDescent="0.35">
      <c r="A12" s="261" t="s">
        <v>533</v>
      </c>
      <c r="B12" s="261"/>
      <c r="C12" s="261"/>
      <c r="D12" s="261"/>
      <c r="E12" s="261"/>
      <c r="F12" s="261"/>
      <c r="G12" s="261"/>
      <c r="H12" s="261"/>
      <c r="I12" s="261"/>
      <c r="J12" s="261"/>
    </row>
    <row r="13" spans="1:15" ht="18" customHeight="1" x14ac:dyDescent="0.35">
      <c r="A13" s="261"/>
      <c r="B13" s="261"/>
      <c r="C13" s="261"/>
      <c r="D13" s="261"/>
      <c r="E13" s="261"/>
      <c r="F13" s="261"/>
      <c r="G13" s="261"/>
      <c r="H13" s="261"/>
      <c r="I13" s="261"/>
      <c r="J13" s="261"/>
    </row>
    <row r="14" spans="1:15" ht="18" customHeight="1" x14ac:dyDescent="0.35">
      <c r="A14" s="261"/>
      <c r="B14" s="261"/>
      <c r="C14" s="261"/>
      <c r="D14" s="261"/>
      <c r="E14" s="261"/>
      <c r="F14" s="261"/>
      <c r="G14" s="261"/>
      <c r="H14" s="261"/>
      <c r="I14" s="261"/>
      <c r="J14" s="261"/>
    </row>
    <row r="15" spans="1:15" ht="18" customHeight="1" x14ac:dyDescent="0.35"/>
    <row r="16" spans="1:15" ht="18" customHeight="1" x14ac:dyDescent="0.35">
      <c r="C16" s="2"/>
      <c r="D16" s="2"/>
      <c r="E16" s="2"/>
    </row>
    <row r="17" spans="1:5" ht="18" customHeight="1" x14ac:dyDescent="0.35">
      <c r="C17" s="2"/>
      <c r="D17" s="2"/>
      <c r="E17" s="2"/>
    </row>
    <row r="18" spans="1:5" ht="18" customHeight="1" x14ac:dyDescent="0.35">
      <c r="C18" s="2"/>
      <c r="D18" s="2"/>
      <c r="E18" s="2"/>
    </row>
    <row r="19" spans="1:5" ht="18" customHeight="1" x14ac:dyDescent="0.35">
      <c r="C19" s="2"/>
      <c r="D19" s="2"/>
      <c r="E19" s="2"/>
    </row>
    <row r="20" spans="1:5" ht="18" customHeight="1" x14ac:dyDescent="0.35">
      <c r="C20" s="2"/>
      <c r="D20" s="2"/>
      <c r="E20" s="2"/>
    </row>
    <row r="21" spans="1:5" ht="18" customHeight="1" x14ac:dyDescent="0.35">
      <c r="C21" s="2"/>
      <c r="D21" s="2"/>
      <c r="E21" s="2"/>
    </row>
    <row r="22" spans="1:5" ht="18" customHeight="1" x14ac:dyDescent="0.35">
      <c r="C22" s="2"/>
      <c r="D22" s="2"/>
      <c r="E22" s="2"/>
    </row>
    <row r="23" spans="1:5" ht="18" customHeight="1" x14ac:dyDescent="0.35">
      <c r="C23" s="2"/>
      <c r="D23" s="2"/>
      <c r="E23" s="2"/>
    </row>
    <row r="24" spans="1:5" ht="18" customHeight="1" x14ac:dyDescent="0.35"/>
    <row r="25" spans="1:5" ht="18" customHeight="1" x14ac:dyDescent="0.35"/>
    <row r="26" spans="1:5" ht="18" customHeight="1" x14ac:dyDescent="0.35"/>
    <row r="27" spans="1:5" ht="18" customHeight="1" x14ac:dyDescent="0.35"/>
    <row r="28" spans="1:5" ht="18" customHeight="1" x14ac:dyDescent="0.35">
      <c r="A28" s="26"/>
      <c r="D28" s="218"/>
    </row>
    <row r="29" spans="1:5" ht="18" customHeight="1" x14ac:dyDescent="0.35"/>
    <row r="30" spans="1:5" ht="18" customHeight="1" x14ac:dyDescent="0.35"/>
    <row r="31" spans="1:5" ht="18" customHeight="1" x14ac:dyDescent="0.35"/>
    <row r="32" spans="1:5" ht="18" customHeight="1" x14ac:dyDescent="0.35">
      <c r="A32" s="26"/>
    </row>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sheetData>
  <sheetProtection selectLockedCells="1"/>
  <mergeCells count="1">
    <mergeCell ref="A12:J14"/>
  </mergeCells>
  <pageMargins left="0.75" right="0.75" top="1" bottom="1" header="0.5" footer="0.5"/>
  <pageSetup paperSize="9" orientation="portrait" horizontalDpi="4294967292" verticalDpi="4294967292"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J376"/>
  <sheetViews>
    <sheetView showGridLines="0" zoomScale="70" zoomScaleNormal="70" workbookViewId="0">
      <pane ySplit="6" topLeftCell="A86" activePane="bottomLeft" state="frozen"/>
      <selection activeCell="A12" sqref="A12:J14"/>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492</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435</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phoneticPr fontId="3" type="noConversion"/>
  <dataValidations count="2">
    <dataValidation allowBlank="1" showInputMessage="1" showErrorMessage="1" error="Please choose from the listed responses" sqref="B92:B93 B99" xr:uid="{00000000-0002-0000-0C00-000002000000}"/>
    <dataValidation allowBlank="1" showInputMessage="1" showErrorMessage="1" error="Plesae choose from the responses provided" sqref="E13" xr:uid="{03306D1E-23BA-408A-9504-7B7964A9ED69}"/>
  </dataValidations>
  <pageMargins left="0.75" right="0.75" top="1" bottom="1" header="0.5" footer="0.5"/>
  <pageSetup paperSize="9" orientation="portrait" horizontalDpi="4294967292" verticalDpi="4294967292"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J376"/>
  <sheetViews>
    <sheetView showGridLines="0" zoomScale="70" zoomScaleNormal="70" workbookViewId="0">
      <pane ySplit="9" topLeftCell="A106" activePane="bottomLeft" state="frozen"/>
      <selection pane="bottomLeft" activeCell="E113" sqref="E113"/>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508</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62B82374-F7EC-40D6-8477-0B9BF04DA150}"/>
    <dataValidation allowBlank="1" showInputMessage="1" showErrorMessage="1" error="Please choose from the listed responses" sqref="B92:B93 B99" xr:uid="{AEA30100-F990-48E2-B050-B32D25EA3248}"/>
  </dataValidations>
  <pageMargins left="0.75" right="0.75" top="1" bottom="1" header="0.5" footer="0.5"/>
  <pageSetup paperSize="9" orientation="portrait" horizontalDpi="4294967292" verticalDpi="4294967292"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J376"/>
  <sheetViews>
    <sheetView showGridLines="0" zoomScale="70" zoomScaleNormal="70" workbookViewId="0">
      <pane ySplit="9" topLeftCell="A74" activePane="bottomLeft" state="frozen"/>
      <selection pane="bottomLeft" activeCell="A2" sqref="A2"/>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509</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E547FA22-07FC-486E-B32B-214B3BC40A4B}"/>
    <dataValidation allowBlank="1" showInputMessage="1" showErrorMessage="1" error="Please choose from the listed responses" sqref="B92:B93 B99" xr:uid="{3164987D-1E57-461D-9232-8720165DBDEA}"/>
  </dataValidations>
  <pageMargins left="0.75" right="0.75" top="1" bottom="1" header="0.5" footer="0.5"/>
  <pageSetup paperSize="9" orientation="portrait" horizontalDpi="4294967292" verticalDpi="4294967292"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1:J376"/>
  <sheetViews>
    <sheetView showGridLines="0" zoomScale="70" zoomScaleNormal="70" workbookViewId="0">
      <pane ySplit="9" topLeftCell="A10" activePane="bottomLeft" state="frozen"/>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510</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F6E2B956-A577-451C-AA7B-F2C8E2E73347}"/>
    <dataValidation allowBlank="1" showInputMessage="1" showErrorMessage="1" error="Please choose from the listed responses" sqref="B92:B93 B99" xr:uid="{55BA4523-9A5D-40E3-8857-C1DBCA33BFA8}"/>
  </dataValidations>
  <pageMargins left="0.75" right="0.75" top="1" bottom="1" header="0.5" footer="0.5"/>
  <pageSetup paperSize="9" orientation="portrait" horizontalDpi="4294967292" verticalDpi="4294967292"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sheetPr>
  <dimension ref="A1:J376"/>
  <sheetViews>
    <sheetView showGridLines="0" zoomScale="70" zoomScaleNormal="70" workbookViewId="0">
      <pane ySplit="9" topLeftCell="A10" activePane="bottomLeft" state="frozen"/>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511</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27D3443E-2D70-4A90-8463-568B6306847D}"/>
    <dataValidation allowBlank="1" showInputMessage="1" showErrorMessage="1" error="Please choose from the listed responses" sqref="B92:B93 B99" xr:uid="{01FCAE1D-A758-48DD-9A03-3D5C6DC24469}"/>
  </dataValidations>
  <pageMargins left="0.75" right="0.75" top="1" bottom="1" header="0.5" footer="0.5"/>
  <pageSetup paperSize="9" orientation="portrait" horizontalDpi="4294967292" verticalDpi="4294967292"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1670-F757-43BB-B687-263B7F7F8B7C}">
  <sheetPr>
    <tabColor rgb="FF00B0F0"/>
  </sheetPr>
  <dimension ref="A1:J376"/>
  <sheetViews>
    <sheetView showGridLines="0" zoomScale="70" zoomScaleNormal="70" workbookViewId="0">
      <pane ySplit="9" topLeftCell="A10" activePane="bottomLeft" state="frozen"/>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525</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E2EE8544-801E-49A1-8489-04B4AE2FFB79}"/>
    <dataValidation allowBlank="1" showInputMessage="1" showErrorMessage="1" error="Please choose from the listed responses" sqref="B92:B93 B99" xr:uid="{B854C321-E50F-4D99-9202-8551EB7B743D}"/>
  </dataValidations>
  <pageMargins left="0.75" right="0.75" top="1" bottom="1" header="0.5" footer="0.5"/>
  <pageSetup paperSize="9" orientation="portrait" horizontalDpi="4294967292" verticalDpi="4294967292"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9443-EF8B-4E15-BF6F-FBBF1DAC27FD}">
  <sheetPr>
    <tabColor rgb="FF00B0F0"/>
  </sheetPr>
  <dimension ref="A1:J376"/>
  <sheetViews>
    <sheetView showGridLines="0" zoomScale="70" zoomScaleNormal="70" workbookViewId="0">
      <pane ySplit="9" topLeftCell="A10" activePane="bottomLeft" state="frozen"/>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526</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34A9D658-8649-4355-81AC-80E7D2A1D628}"/>
    <dataValidation allowBlank="1" showInputMessage="1" showErrorMessage="1" error="Please choose from the listed responses" sqref="B92:B93 B99" xr:uid="{367BFF1E-44D0-461B-A954-A5842AE3E656}"/>
  </dataValidations>
  <pageMargins left="0.75" right="0.75" top="1" bottom="1" header="0.5" footer="0.5"/>
  <pageSetup paperSize="9" orientation="portrait" horizontalDpi="4294967292" verticalDpi="4294967292"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CE0B-7C32-4E9D-95F1-724ABBB21A6E}">
  <sheetPr>
    <tabColor rgb="FF00B0F0"/>
  </sheetPr>
  <dimension ref="A1:J376"/>
  <sheetViews>
    <sheetView showGridLines="0" zoomScale="70" zoomScaleNormal="70" workbookViewId="0">
      <pane ySplit="9" topLeftCell="A10" activePane="bottomLeft" state="frozen"/>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527</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685F8EF6-2AC3-4C3A-B62C-B05C92535DDF}"/>
    <dataValidation allowBlank="1" showInputMessage="1" showErrorMessage="1" error="Please choose from the listed responses" sqref="B92:B93 B99" xr:uid="{0BAB5F77-E02A-47F7-9F2B-925128E1620F}"/>
  </dataValidations>
  <pageMargins left="0.75" right="0.75" top="1" bottom="1" header="0.5" footer="0.5"/>
  <pageSetup paperSize="9" orientation="portrait" horizontalDpi="4294967292" verticalDpi="4294967292"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0554-CB7E-4A36-B6B6-B7622780CC17}">
  <sheetPr>
    <tabColor rgb="FF00B0F0"/>
  </sheetPr>
  <dimension ref="A1:J376"/>
  <sheetViews>
    <sheetView showGridLines="0" zoomScale="70" zoomScaleNormal="70" workbookViewId="0">
      <pane ySplit="9" topLeftCell="A10" activePane="bottomLeft" state="frozen"/>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528</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890CCB63-233C-42DC-A983-4B86C414320B}"/>
    <dataValidation allowBlank="1" showInputMessage="1" showErrorMessage="1" error="Please choose from the listed responses" sqref="B92:B93 B99" xr:uid="{29AFC727-EE02-4B2E-85F4-00137B6AE0DA}"/>
  </dataValidations>
  <pageMargins left="0.75" right="0.75" top="1" bottom="1" header="0.5" footer="0.5"/>
  <pageSetup paperSize="9" orientation="portrait" horizontalDpi="4294967292" verticalDpi="4294967292"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3D04-32B3-4334-A524-E5707E960988}">
  <sheetPr>
    <tabColor rgb="FF00B0F0"/>
  </sheetPr>
  <dimension ref="A1:J376"/>
  <sheetViews>
    <sheetView showGridLines="0" zoomScale="70" zoomScaleNormal="70" workbookViewId="0">
      <pane ySplit="9" topLeftCell="A10" activePane="bottomLeft" state="frozen"/>
      <selection pane="bottomLeft" activeCell="A5" sqref="A5"/>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529</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FB9A2FE7-FD4D-4EF3-96F4-7F76619DF352}"/>
    <dataValidation allowBlank="1" showInputMessage="1" showErrorMessage="1" error="Please choose from the listed responses" sqref="B92:B93 B99" xr:uid="{4760A6F8-D02B-4BD3-8779-863F76A8D9D9}"/>
  </dataValidations>
  <pageMargins left="0.75" right="0.75" top="1" bottom="1" header="0.5" footer="0.5"/>
  <pageSetup paperSize="9" orientation="portrait" horizontalDpi="4294967292" verticalDpi="4294967292"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06B2-52C0-46A4-9DED-3C769649A2A8}">
  <sheetPr>
    <tabColor rgb="FF00B0F0"/>
  </sheetPr>
  <dimension ref="A1:J376"/>
  <sheetViews>
    <sheetView showGridLines="0" zoomScale="70" zoomScaleNormal="70" workbookViewId="0">
      <pane ySplit="9" topLeftCell="A66" activePane="bottomLeft" state="frozen"/>
      <selection pane="bottomLeft"/>
    </sheetView>
  </sheetViews>
  <sheetFormatPr defaultColWidth="11.453125" defaultRowHeight="15.5" x14ac:dyDescent="0.35"/>
  <cols>
    <col min="1" max="1" width="60.54296875" style="2" customWidth="1"/>
    <col min="2" max="2" width="15.7265625" style="3" customWidth="1"/>
    <col min="3" max="3" width="18.1796875" style="3" customWidth="1"/>
    <col min="4" max="4" width="17.1796875" style="2" customWidth="1"/>
    <col min="5" max="5" width="22" style="2" customWidth="1"/>
    <col min="6" max="7" width="11.453125" style="2"/>
    <col min="8" max="8" width="13.7265625" style="2" customWidth="1"/>
    <col min="9" max="9" width="36.54296875" style="2" customWidth="1"/>
    <col min="10" max="10" width="18.54296875" style="2" customWidth="1"/>
    <col min="11" max="16384" width="11.453125" style="2"/>
  </cols>
  <sheetData>
    <row r="1" spans="1:10" ht="18" customHeight="1" x14ac:dyDescent="0.35">
      <c r="A1" s="6" t="s">
        <v>530</v>
      </c>
    </row>
    <row r="2" spans="1:10" s="6" customFormat="1" ht="18" customHeight="1" x14ac:dyDescent="0.35">
      <c r="A2" s="129"/>
      <c r="B2" s="7"/>
      <c r="C2" s="7"/>
      <c r="D2" s="234"/>
      <c r="E2" s="235"/>
      <c r="F2" s="235"/>
      <c r="G2" s="2"/>
      <c r="H2" s="2"/>
      <c r="I2" s="2"/>
      <c r="J2" s="2"/>
    </row>
    <row r="3" spans="1:10" s="6" customFormat="1" ht="18" customHeight="1" x14ac:dyDescent="0.35">
      <c r="A3" s="256" t="s">
        <v>515</v>
      </c>
      <c r="B3" s="257">
        <f>C86+C63</f>
        <v>-5013.8299999999945</v>
      </c>
      <c r="C3" s="235"/>
      <c r="G3" s="2"/>
      <c r="H3" s="2"/>
      <c r="I3" s="2"/>
      <c r="J3" s="2"/>
    </row>
    <row r="4" spans="1:10" s="6" customFormat="1" ht="18" customHeight="1" x14ac:dyDescent="0.35">
      <c r="A4" s="256" t="s">
        <v>502</v>
      </c>
      <c r="B4" s="257">
        <f>-C86*C4</f>
        <v>5648.3570999999974</v>
      </c>
      <c r="C4" s="236">
        <v>0.37</v>
      </c>
      <c r="D4" s="248" t="s">
        <v>503</v>
      </c>
      <c r="G4" s="2"/>
      <c r="H4" s="2"/>
      <c r="I4" s="2"/>
      <c r="J4" s="2"/>
    </row>
    <row r="5" spans="1:10" s="6" customFormat="1" ht="18" customHeight="1" x14ac:dyDescent="0.35">
      <c r="A5" s="256" t="s">
        <v>516</v>
      </c>
      <c r="B5" s="257">
        <f>B3+B4</f>
        <v>634.52710000000297</v>
      </c>
      <c r="C5" s="237"/>
      <c r="G5" s="2"/>
      <c r="H5" s="2"/>
      <c r="I5" s="2"/>
      <c r="J5" s="2"/>
    </row>
    <row r="6" spans="1:10" s="6" customFormat="1" ht="18" customHeight="1" x14ac:dyDescent="0.35">
      <c r="A6" s="30"/>
      <c r="B6" s="3"/>
      <c r="C6" s="3"/>
      <c r="D6" s="2"/>
      <c r="E6" s="2"/>
      <c r="F6" s="2"/>
      <c r="G6" s="2"/>
      <c r="H6" s="2"/>
      <c r="I6" s="2"/>
      <c r="J6" s="2"/>
    </row>
    <row r="7" spans="1:10" s="6" customFormat="1" ht="18" customHeight="1" x14ac:dyDescent="0.35">
      <c r="A7" s="30"/>
      <c r="B7" s="3"/>
      <c r="C7" s="3"/>
      <c r="D7" s="2"/>
      <c r="E7" s="2"/>
      <c r="F7" s="2"/>
      <c r="G7" s="2"/>
      <c r="H7" s="2"/>
      <c r="I7" s="2"/>
      <c r="J7" s="2"/>
    </row>
    <row r="8" spans="1:10" s="6" customFormat="1" ht="18" customHeight="1" x14ac:dyDescent="0.35">
      <c r="A8" s="137" t="s">
        <v>512</v>
      </c>
      <c r="B8" s="3"/>
      <c r="C8" s="109"/>
      <c r="E8" s="55"/>
      <c r="F8" s="55"/>
      <c r="G8" s="55"/>
      <c r="H8" s="55"/>
      <c r="I8" s="55"/>
    </row>
    <row r="9" spans="1:10" s="6" customFormat="1" ht="18" customHeight="1" x14ac:dyDescent="0.35">
      <c r="B9" s="3"/>
      <c r="C9" s="3"/>
      <c r="D9" s="109"/>
      <c r="E9" s="55"/>
      <c r="F9" s="6" t="s">
        <v>334</v>
      </c>
      <c r="G9" s="2"/>
      <c r="H9" s="55"/>
      <c r="I9" s="55"/>
    </row>
    <row r="10" spans="1:10" ht="18" customHeight="1" x14ac:dyDescent="0.35">
      <c r="D10" s="125"/>
      <c r="E10" s="125"/>
      <c r="F10" s="125"/>
      <c r="G10" s="125"/>
      <c r="H10" s="125"/>
      <c r="I10" s="125"/>
    </row>
    <row r="11" spans="1:10" ht="18" customHeight="1" thickBot="1" x14ac:dyDescent="0.4">
      <c r="A11" s="53" t="s">
        <v>166</v>
      </c>
      <c r="B11" s="55"/>
      <c r="C11" s="55"/>
      <c r="D11" s="14"/>
      <c r="E11" s="14"/>
    </row>
    <row r="12" spans="1:10" s="6" customFormat="1" ht="18" customHeight="1" x14ac:dyDescent="0.35">
      <c r="A12" s="22" t="s">
        <v>333</v>
      </c>
      <c r="B12" s="238"/>
      <c r="C12" s="238"/>
      <c r="D12" s="238"/>
      <c r="E12" s="157">
        <v>42394</v>
      </c>
      <c r="F12" s="54" t="s">
        <v>504</v>
      </c>
    </row>
    <row r="13" spans="1:10" ht="18" customHeight="1" x14ac:dyDescent="0.35">
      <c r="A13" s="15" t="s">
        <v>521</v>
      </c>
      <c r="B13" s="14"/>
      <c r="C13" s="14"/>
      <c r="D13" s="14"/>
      <c r="E13" s="158" t="s">
        <v>378</v>
      </c>
      <c r="F13" s="54" t="s">
        <v>505</v>
      </c>
      <c r="G13" s="107"/>
      <c r="H13" s="14"/>
      <c r="I13" s="14"/>
    </row>
    <row r="14" spans="1:10" ht="18" customHeight="1" x14ac:dyDescent="0.35">
      <c r="A14" s="15"/>
      <c r="B14" s="14"/>
      <c r="C14" s="14"/>
      <c r="D14" s="14"/>
      <c r="E14" s="158"/>
      <c r="F14" s="54"/>
      <c r="G14" s="107"/>
      <c r="H14" s="14"/>
      <c r="I14" s="14"/>
    </row>
    <row r="15" spans="1:10" ht="18" customHeight="1" x14ac:dyDescent="0.35">
      <c r="A15" s="15" t="s">
        <v>348</v>
      </c>
      <c r="B15" s="14"/>
      <c r="C15" s="14"/>
      <c r="D15" s="14"/>
      <c r="E15" s="158" t="s">
        <v>383</v>
      </c>
      <c r="F15" s="108"/>
      <c r="G15" s="107"/>
      <c r="H15" s="14"/>
      <c r="I15" s="14"/>
    </row>
    <row r="16" spans="1:10" ht="18" customHeight="1" x14ac:dyDescent="0.35">
      <c r="A16" s="15" t="s">
        <v>349</v>
      </c>
      <c r="B16" s="14"/>
      <c r="C16" s="14"/>
      <c r="D16" s="14"/>
      <c r="E16" s="158" t="s">
        <v>383</v>
      </c>
      <c r="F16" s="54" t="s">
        <v>493</v>
      </c>
      <c r="G16" s="107"/>
      <c r="H16" s="14"/>
      <c r="I16" s="14"/>
    </row>
    <row r="17" spans="1:9" ht="18" customHeight="1" x14ac:dyDescent="0.35">
      <c r="A17" s="15"/>
      <c r="B17" s="14"/>
      <c r="C17" s="14"/>
      <c r="D17" s="14"/>
      <c r="E17" s="113"/>
      <c r="F17" s="54"/>
      <c r="G17" s="107"/>
      <c r="H17" s="14"/>
      <c r="I17" s="14"/>
    </row>
    <row r="18" spans="1:9" ht="18" customHeight="1" x14ac:dyDescent="0.35">
      <c r="A18" s="15" t="s">
        <v>331</v>
      </c>
      <c r="B18" s="14"/>
      <c r="C18" s="14"/>
      <c r="D18" s="14"/>
      <c r="E18" s="158" t="s">
        <v>379</v>
      </c>
      <c r="F18" s="54" t="s">
        <v>388</v>
      </c>
      <c r="G18" s="107"/>
      <c r="H18" s="14"/>
      <c r="I18" s="14"/>
    </row>
    <row r="19" spans="1:9" ht="18" customHeight="1" x14ac:dyDescent="0.35">
      <c r="A19" s="15" t="s">
        <v>332</v>
      </c>
      <c r="B19" s="14"/>
      <c r="C19" s="14"/>
      <c r="D19" s="14"/>
      <c r="E19" s="158" t="s">
        <v>383</v>
      </c>
      <c r="F19" s="54" t="s">
        <v>424</v>
      </c>
      <c r="G19" s="107"/>
      <c r="H19" s="14"/>
      <c r="I19" s="14"/>
    </row>
    <row r="20" spans="1:9" ht="18" customHeight="1" x14ac:dyDescent="0.35">
      <c r="A20" s="15"/>
      <c r="B20" s="14"/>
      <c r="C20" s="14"/>
      <c r="D20" s="14"/>
      <c r="E20" s="55"/>
      <c r="F20" s="108"/>
      <c r="G20" s="107"/>
      <c r="H20" s="14"/>
      <c r="I20" s="14"/>
    </row>
    <row r="21" spans="1:9" ht="18" customHeight="1" x14ac:dyDescent="0.35">
      <c r="A21" s="31" t="s">
        <v>337</v>
      </c>
      <c r="B21" s="14"/>
      <c r="C21" s="14"/>
      <c r="D21" s="14"/>
      <c r="E21" s="158" t="s">
        <v>379</v>
      </c>
      <c r="F21" s="108"/>
      <c r="G21" s="107"/>
      <c r="H21" s="14"/>
      <c r="I21" s="14"/>
    </row>
    <row r="22" spans="1:9" ht="18" customHeight="1" x14ac:dyDescent="0.35">
      <c r="A22" s="15" t="s">
        <v>338</v>
      </c>
      <c r="B22" s="14"/>
      <c r="C22" s="14"/>
      <c r="D22" s="14"/>
      <c r="E22" s="158" t="s">
        <v>379</v>
      </c>
      <c r="F22" s="54"/>
      <c r="G22" s="107"/>
      <c r="H22" s="14"/>
      <c r="I22" s="14"/>
    </row>
    <row r="23" spans="1:9" ht="18" customHeight="1" x14ac:dyDescent="0.35">
      <c r="A23" s="15" t="s">
        <v>339</v>
      </c>
      <c r="B23" s="14"/>
      <c r="C23" s="14"/>
      <c r="D23" s="14"/>
      <c r="E23" s="159" t="s">
        <v>24</v>
      </c>
      <c r="F23" s="54"/>
      <c r="G23" s="107"/>
      <c r="H23" s="14"/>
      <c r="I23" s="14"/>
    </row>
    <row r="24" spans="1:9" ht="18" customHeight="1" x14ac:dyDescent="0.35">
      <c r="A24" s="15" t="s">
        <v>340</v>
      </c>
      <c r="B24" s="14"/>
      <c r="C24" s="14"/>
      <c r="D24" s="14"/>
      <c r="E24" s="160" t="s">
        <v>24</v>
      </c>
      <c r="F24" s="108"/>
      <c r="G24" s="107"/>
      <c r="H24" s="14"/>
      <c r="I24" s="14"/>
    </row>
    <row r="25" spans="1:9" ht="18" customHeight="1" x14ac:dyDescent="0.35">
      <c r="A25" s="15"/>
      <c r="B25" s="14"/>
      <c r="C25" s="14"/>
      <c r="D25" s="14"/>
      <c r="E25" s="128"/>
      <c r="F25" s="54"/>
      <c r="G25" s="107"/>
      <c r="H25" s="14"/>
      <c r="I25" s="14"/>
    </row>
    <row r="26" spans="1:9" ht="18" customHeight="1" x14ac:dyDescent="0.35">
      <c r="A26" s="15" t="s">
        <v>518</v>
      </c>
      <c r="B26" s="14"/>
      <c r="C26" s="14"/>
      <c r="D26" s="14"/>
      <c r="E26" s="158" t="s">
        <v>379</v>
      </c>
      <c r="F26" s="54"/>
      <c r="G26" s="107"/>
      <c r="H26" s="14"/>
      <c r="I26" s="14"/>
    </row>
    <row r="27" spans="1:9" ht="18" customHeight="1" x14ac:dyDescent="0.35">
      <c r="A27" s="15"/>
      <c r="B27" s="14"/>
      <c r="C27" s="14"/>
      <c r="D27" s="14"/>
      <c r="E27"/>
      <c r="F27" s="108"/>
      <c r="G27" s="107"/>
      <c r="H27" s="14"/>
      <c r="I27" s="14"/>
    </row>
    <row r="28" spans="1:9" ht="18" customHeight="1" x14ac:dyDescent="0.35">
      <c r="A28" s="15" t="s">
        <v>19</v>
      </c>
      <c r="B28" s="14" t="s">
        <v>20</v>
      </c>
      <c r="C28" s="14" t="s">
        <v>21</v>
      </c>
      <c r="D28" s="14"/>
      <c r="E28" s="14"/>
      <c r="F28" s="54" t="s">
        <v>411</v>
      </c>
      <c r="G28" s="107"/>
      <c r="H28" s="14"/>
      <c r="I28" s="14"/>
    </row>
    <row r="29" spans="1:9" ht="18" customHeight="1" x14ac:dyDescent="0.35">
      <c r="A29" s="15" t="s">
        <v>20</v>
      </c>
      <c r="B29" s="161">
        <v>43282</v>
      </c>
      <c r="C29" s="161">
        <v>43646</v>
      </c>
      <c r="D29" s="14"/>
      <c r="E29" s="14"/>
      <c r="F29" s="108"/>
      <c r="G29" s="107"/>
      <c r="H29" s="14"/>
      <c r="I29" s="14"/>
    </row>
    <row r="30" spans="1:9" ht="18" customHeight="1" x14ac:dyDescent="0.35">
      <c r="A30" s="15"/>
      <c r="B30" s="110"/>
      <c r="C30" s="110"/>
      <c r="D30" s="14"/>
      <c r="E30" s="14"/>
      <c r="F30" s="108"/>
      <c r="G30" s="107"/>
      <c r="H30" s="14"/>
      <c r="I30" s="14"/>
    </row>
    <row r="31" spans="1:9" ht="18" customHeight="1" x14ac:dyDescent="0.35">
      <c r="A31" s="259" t="s">
        <v>341</v>
      </c>
      <c r="B31" s="260" t="s">
        <v>342</v>
      </c>
      <c r="C31" s="110"/>
      <c r="D31" s="14"/>
      <c r="E31" s="14"/>
      <c r="F31" s="54" t="s">
        <v>343</v>
      </c>
      <c r="G31" s="107"/>
      <c r="H31" s="14"/>
      <c r="I31" s="14"/>
    </row>
    <row r="32" spans="1:9" ht="18" customHeight="1" x14ac:dyDescent="0.35">
      <c r="A32" s="162" t="s">
        <v>519</v>
      </c>
      <c r="B32" s="163">
        <v>1</v>
      </c>
      <c r="C32" s="111"/>
      <c r="D32" s="14"/>
      <c r="E32" s="14"/>
      <c r="F32" s="15"/>
      <c r="G32" s="107"/>
      <c r="H32" s="14"/>
      <c r="I32" s="14"/>
    </row>
    <row r="33" spans="1:9" ht="18" customHeight="1" x14ac:dyDescent="0.35">
      <c r="A33" s="162" t="s">
        <v>344</v>
      </c>
      <c r="B33" s="163">
        <v>0</v>
      </c>
      <c r="C33" s="111"/>
      <c r="D33" s="14"/>
      <c r="E33" s="14"/>
      <c r="F33" s="108"/>
      <c r="G33" s="107"/>
      <c r="H33" s="14"/>
      <c r="I33" s="14"/>
    </row>
    <row r="34" spans="1:9" ht="18" customHeight="1" x14ac:dyDescent="0.35">
      <c r="A34" s="162" t="s">
        <v>345</v>
      </c>
      <c r="B34" s="164">
        <v>0</v>
      </c>
      <c r="C34" s="56"/>
      <c r="D34" s="14"/>
      <c r="E34" s="14"/>
      <c r="F34" s="108"/>
      <c r="G34" s="107"/>
      <c r="H34" s="14"/>
      <c r="I34" s="14"/>
    </row>
    <row r="35" spans="1:9" ht="18" customHeight="1" x14ac:dyDescent="0.35">
      <c r="A35" s="162" t="s">
        <v>346</v>
      </c>
      <c r="B35" s="164">
        <v>0</v>
      </c>
      <c r="C35" s="56"/>
      <c r="D35" s="14"/>
      <c r="E35" s="14"/>
      <c r="F35" s="108"/>
      <c r="G35" s="107"/>
      <c r="H35" s="14"/>
      <c r="I35" s="14"/>
    </row>
    <row r="36" spans="1:9" ht="18" customHeight="1" thickBot="1" x14ac:dyDescent="0.4">
      <c r="A36" s="108"/>
      <c r="B36" s="112">
        <f>SUM(B32:B35)</f>
        <v>1</v>
      </c>
      <c r="C36" s="2"/>
      <c r="D36" s="14"/>
      <c r="E36" s="14"/>
      <c r="F36" s="54" t="s">
        <v>494</v>
      </c>
      <c r="G36" s="107"/>
      <c r="H36" s="14"/>
      <c r="I36" s="14"/>
    </row>
    <row r="37" spans="1:9" ht="18" customHeight="1" thickTop="1" thickBot="1" x14ac:dyDescent="0.4">
      <c r="A37" s="21"/>
      <c r="B37" s="16"/>
      <c r="C37" s="16"/>
      <c r="D37" s="16"/>
      <c r="E37" s="16"/>
      <c r="F37" s="15"/>
    </row>
    <row r="38" spans="1:9" ht="18" customHeight="1" x14ac:dyDescent="0.35">
      <c r="A38" s="14"/>
      <c r="B38" s="14"/>
      <c r="C38" s="14"/>
      <c r="D38" s="14"/>
      <c r="E38" s="14"/>
      <c r="F38" s="54"/>
      <c r="G38" s="18"/>
      <c r="H38" s="18"/>
      <c r="I38" s="18"/>
    </row>
    <row r="39" spans="1:9" ht="18" customHeight="1" x14ac:dyDescent="0.35">
      <c r="A39" s="114" t="s">
        <v>347</v>
      </c>
      <c r="B39" s="239"/>
      <c r="C39" s="7"/>
      <c r="E39" s="14"/>
      <c r="F39" s="54"/>
      <c r="G39" s="18"/>
      <c r="H39" s="18"/>
      <c r="I39" s="18"/>
    </row>
    <row r="40" spans="1:9" ht="18" customHeight="1" x14ac:dyDescent="0.35">
      <c r="E40" s="14"/>
      <c r="F40" s="31" t="s">
        <v>3</v>
      </c>
    </row>
    <row r="41" spans="1:9" ht="18" customHeight="1" x14ac:dyDescent="0.35">
      <c r="A41" s="2" t="s">
        <v>335</v>
      </c>
      <c r="B41" s="2"/>
      <c r="C41" s="165">
        <v>21820.36</v>
      </c>
      <c r="E41" s="14"/>
      <c r="F41" s="54" t="s">
        <v>495</v>
      </c>
    </row>
    <row r="42" spans="1:9" ht="18" customHeight="1" x14ac:dyDescent="0.35">
      <c r="A42" s="2" t="s">
        <v>336</v>
      </c>
      <c r="C42" s="165">
        <v>0</v>
      </c>
      <c r="E42" s="14"/>
      <c r="F42" s="54" t="s">
        <v>496</v>
      </c>
    </row>
    <row r="43" spans="1:9" ht="18" customHeight="1" x14ac:dyDescent="0.35">
      <c r="A43" s="2" t="s">
        <v>412</v>
      </c>
      <c r="C43" s="165">
        <v>0</v>
      </c>
      <c r="E43" s="14"/>
      <c r="F43" s="54" t="s">
        <v>350</v>
      </c>
      <c r="G43" s="107"/>
      <c r="H43" s="14"/>
      <c r="I43" s="14"/>
    </row>
    <row r="44" spans="1:9" ht="18" customHeight="1" x14ac:dyDescent="0.35">
      <c r="A44" s="2" t="s">
        <v>413</v>
      </c>
      <c r="C44" s="165">
        <v>0</v>
      </c>
      <c r="E44" s="14"/>
      <c r="F44" s="54" t="s">
        <v>414</v>
      </c>
      <c r="G44" s="107"/>
      <c r="H44" s="14"/>
      <c r="I44" s="14"/>
    </row>
    <row r="45" spans="1:9" ht="18" customHeight="1" x14ac:dyDescent="0.35">
      <c r="A45" s="2" t="s">
        <v>285</v>
      </c>
      <c r="C45" s="165">
        <v>0</v>
      </c>
      <c r="E45" s="14"/>
      <c r="F45" s="54" t="s">
        <v>351</v>
      </c>
      <c r="G45" s="107"/>
      <c r="H45" s="14"/>
      <c r="I45" s="14"/>
    </row>
    <row r="46" spans="1:9" ht="18" customHeight="1" x14ac:dyDescent="0.35">
      <c r="A46" s="2" t="s">
        <v>4</v>
      </c>
      <c r="C46" s="165">
        <v>0</v>
      </c>
      <c r="E46" s="14"/>
      <c r="F46" s="54" t="s">
        <v>352</v>
      </c>
      <c r="G46" s="107"/>
      <c r="H46" s="14"/>
      <c r="I46" s="14"/>
    </row>
    <row r="47" spans="1:9" ht="18" customHeight="1" x14ac:dyDescent="0.35">
      <c r="A47" s="20" t="s">
        <v>5</v>
      </c>
      <c r="C47" s="19">
        <f>SUM(C41:C46)</f>
        <v>21820.36</v>
      </c>
      <c r="F47" s="15"/>
      <c r="G47" s="14"/>
      <c r="H47" s="14"/>
      <c r="I47" s="14"/>
    </row>
    <row r="48" spans="1:9" ht="18" customHeight="1" x14ac:dyDescent="0.35">
      <c r="A48" s="20"/>
      <c r="C48" s="76"/>
      <c r="F48" s="15"/>
      <c r="G48" s="14"/>
      <c r="H48" s="14"/>
      <c r="I48" s="14"/>
    </row>
    <row r="49" spans="1:9" ht="18" customHeight="1" x14ac:dyDescent="0.35">
      <c r="A49" s="20"/>
      <c r="C49" s="76"/>
      <c r="F49" s="15"/>
      <c r="G49" s="14"/>
      <c r="H49" s="14"/>
      <c r="I49" s="14"/>
    </row>
    <row r="50" spans="1:9" ht="18" customHeight="1" x14ac:dyDescent="0.35">
      <c r="F50" s="108"/>
    </row>
    <row r="51" spans="1:9" ht="18" customHeight="1" x14ac:dyDescent="0.35">
      <c r="A51" s="6" t="s">
        <v>1</v>
      </c>
      <c r="C51" s="3" t="s">
        <v>3</v>
      </c>
      <c r="F51" s="15"/>
    </row>
    <row r="52" spans="1:9" ht="18" customHeight="1" x14ac:dyDescent="0.35">
      <c r="A52" s="4" t="s">
        <v>6</v>
      </c>
      <c r="B52" s="12"/>
      <c r="C52" s="165">
        <v>0</v>
      </c>
      <c r="F52" s="15"/>
    </row>
    <row r="53" spans="1:9" ht="18" customHeight="1" x14ac:dyDescent="0.35">
      <c r="A53" s="4" t="s">
        <v>421</v>
      </c>
      <c r="B53" s="12"/>
      <c r="C53" s="165">
        <v>0</v>
      </c>
      <c r="F53" s="54" t="s">
        <v>422</v>
      </c>
    </row>
    <row r="54" spans="1:9" ht="18" customHeight="1" x14ac:dyDescent="0.35">
      <c r="A54" s="4" t="s">
        <v>7</v>
      </c>
      <c r="B54" s="12"/>
      <c r="C54" s="165">
        <v>0</v>
      </c>
      <c r="F54" s="54" t="s">
        <v>369</v>
      </c>
    </row>
    <row r="55" spans="1:9" ht="18" customHeight="1" x14ac:dyDescent="0.35">
      <c r="A55" s="4" t="s">
        <v>8</v>
      </c>
      <c r="B55" s="12"/>
      <c r="C55" s="169">
        <v>0</v>
      </c>
      <c r="D55" s="6" t="s">
        <v>294</v>
      </c>
      <c r="F55" s="54" t="s">
        <v>415</v>
      </c>
    </row>
    <row r="56" spans="1:9" ht="18" customHeight="1" x14ac:dyDescent="0.35">
      <c r="A56" s="4" t="s">
        <v>371</v>
      </c>
      <c r="B56" s="12"/>
      <c r="C56" s="165">
        <v>0</v>
      </c>
      <c r="D56" s="6"/>
      <c r="F56" s="54" t="s">
        <v>368</v>
      </c>
    </row>
    <row r="57" spans="1:9" ht="18" customHeight="1" x14ac:dyDescent="0.35">
      <c r="A57" s="4" t="s">
        <v>419</v>
      </c>
      <c r="B57" s="12"/>
      <c r="C57" s="165">
        <v>0</v>
      </c>
      <c r="F57" s="54" t="s">
        <v>354</v>
      </c>
    </row>
    <row r="58" spans="1:9" ht="18" customHeight="1" x14ac:dyDescent="0.35">
      <c r="A58" s="4" t="s">
        <v>356</v>
      </c>
      <c r="B58" s="12"/>
      <c r="C58" s="165">
        <v>0</v>
      </c>
      <c r="F58" s="54" t="s">
        <v>355</v>
      </c>
    </row>
    <row r="59" spans="1:9" ht="18" customHeight="1" x14ac:dyDescent="0.35">
      <c r="A59" s="4" t="s">
        <v>292</v>
      </c>
      <c r="B59" s="12"/>
      <c r="C59" s="165">
        <v>0</v>
      </c>
      <c r="D59" s="6"/>
      <c r="F59" s="54" t="s">
        <v>293</v>
      </c>
    </row>
    <row r="60" spans="1:9" ht="18" customHeight="1" x14ac:dyDescent="0.35">
      <c r="A60" s="4" t="s">
        <v>9</v>
      </c>
      <c r="B60" s="12"/>
      <c r="C60" s="165">
        <v>0</v>
      </c>
      <c r="F60" s="54" t="s">
        <v>360</v>
      </c>
    </row>
    <row r="61" spans="1:9" ht="18" customHeight="1" x14ac:dyDescent="0.35">
      <c r="A61" s="4" t="s">
        <v>10</v>
      </c>
      <c r="B61" s="2"/>
      <c r="C61" s="165">
        <v>2624.3</v>
      </c>
      <c r="F61" s="54" t="s">
        <v>370</v>
      </c>
    </row>
    <row r="62" spans="1:9" ht="18" customHeight="1" x14ac:dyDescent="0.35">
      <c r="A62" s="4" t="s">
        <v>372</v>
      </c>
      <c r="B62" s="12"/>
      <c r="C62" s="165">
        <v>0</v>
      </c>
      <c r="F62" s="54" t="s">
        <v>373</v>
      </c>
    </row>
    <row r="63" spans="1:9" ht="18" customHeight="1" x14ac:dyDescent="0.35">
      <c r="A63" s="4" t="s">
        <v>410</v>
      </c>
      <c r="B63" s="2"/>
      <c r="C63" s="165">
        <v>10252</v>
      </c>
      <c r="D63" s="6"/>
      <c r="F63" s="54" t="s">
        <v>416</v>
      </c>
    </row>
    <row r="64" spans="1:9" ht="18" customHeight="1" x14ac:dyDescent="0.35">
      <c r="A64" s="4" t="s">
        <v>11</v>
      </c>
      <c r="B64" s="12"/>
      <c r="C64" s="165">
        <v>0</v>
      </c>
      <c r="F64" s="54" t="s">
        <v>290</v>
      </c>
    </row>
    <row r="65" spans="1:9" ht="18" customHeight="1" x14ac:dyDescent="0.35">
      <c r="A65" s="4" t="s">
        <v>12</v>
      </c>
      <c r="B65" s="2"/>
      <c r="C65" s="165">
        <v>1835.51</v>
      </c>
      <c r="F65" s="54" t="s">
        <v>367</v>
      </c>
    </row>
    <row r="66" spans="1:9" ht="18" customHeight="1" x14ac:dyDescent="0.35">
      <c r="A66" s="77" t="s">
        <v>13</v>
      </c>
      <c r="B66" s="13"/>
      <c r="C66" s="165">
        <v>0</v>
      </c>
      <c r="F66" s="54" t="s">
        <v>367</v>
      </c>
    </row>
    <row r="67" spans="1:9" ht="18" customHeight="1" x14ac:dyDescent="0.35">
      <c r="A67" s="77" t="s">
        <v>14</v>
      </c>
      <c r="B67" s="2"/>
      <c r="C67" s="165">
        <v>300.20999999999998</v>
      </c>
      <c r="F67" s="54" t="s">
        <v>367</v>
      </c>
    </row>
    <row r="68" spans="1:9" ht="18" customHeight="1" x14ac:dyDescent="0.35">
      <c r="A68" s="77" t="s">
        <v>163</v>
      </c>
      <c r="B68" s="2"/>
      <c r="C68" s="165">
        <v>1436.89</v>
      </c>
      <c r="F68" s="54" t="s">
        <v>497</v>
      </c>
      <c r="G68" s="18"/>
      <c r="H68" s="18"/>
      <c r="I68" s="18"/>
    </row>
    <row r="69" spans="1:9" ht="18" customHeight="1" x14ac:dyDescent="0.35">
      <c r="A69" s="77" t="s">
        <v>164</v>
      </c>
      <c r="B69" s="2"/>
      <c r="C69" s="165">
        <v>15797.08</v>
      </c>
      <c r="F69" s="54" t="s">
        <v>497</v>
      </c>
      <c r="G69" s="18"/>
      <c r="H69" s="18"/>
      <c r="I69" s="18"/>
    </row>
    <row r="70" spans="1:9" ht="18" customHeight="1" x14ac:dyDescent="0.35">
      <c r="A70" s="77" t="s">
        <v>165</v>
      </c>
      <c r="B70" s="79"/>
      <c r="C70" s="165">
        <v>0</v>
      </c>
      <c r="F70" s="54" t="s">
        <v>497</v>
      </c>
      <c r="G70" s="18"/>
      <c r="H70" s="18"/>
      <c r="I70" s="18"/>
    </row>
    <row r="71" spans="1:9" ht="18" customHeight="1" x14ac:dyDescent="0.35">
      <c r="A71" s="77" t="s">
        <v>417</v>
      </c>
      <c r="B71" s="79"/>
      <c r="C71" s="165">
        <v>0</v>
      </c>
      <c r="F71" s="54" t="s">
        <v>497</v>
      </c>
      <c r="G71" s="18"/>
      <c r="H71" s="18"/>
      <c r="I71" s="18"/>
    </row>
    <row r="72" spans="1:9" ht="18" customHeight="1" x14ac:dyDescent="0.35">
      <c r="A72" s="77" t="s">
        <v>2</v>
      </c>
      <c r="B72" s="80"/>
      <c r="C72" s="165">
        <v>0</v>
      </c>
      <c r="F72" s="54" t="s">
        <v>403</v>
      </c>
    </row>
    <row r="73" spans="1:9" ht="18" customHeight="1" x14ac:dyDescent="0.35">
      <c r="A73" s="77" t="s">
        <v>353</v>
      </c>
      <c r="B73" s="81"/>
      <c r="C73" s="165">
        <v>0</v>
      </c>
      <c r="F73" s="54" t="s">
        <v>418</v>
      </c>
    </row>
    <row r="74" spans="1:9" ht="18" customHeight="1" x14ac:dyDescent="0.35">
      <c r="A74" s="77" t="s">
        <v>15</v>
      </c>
      <c r="B74" s="78"/>
      <c r="C74" s="165">
        <v>0</v>
      </c>
      <c r="F74" s="54" t="s">
        <v>363</v>
      </c>
    </row>
    <row r="75" spans="1:9" ht="18" customHeight="1" x14ac:dyDescent="0.35">
      <c r="A75" s="77" t="s">
        <v>420</v>
      </c>
      <c r="B75" s="2"/>
      <c r="C75" s="165">
        <f>1855+120+197.5</f>
        <v>2172.5</v>
      </c>
      <c r="F75" s="15"/>
    </row>
    <row r="76" spans="1:9" s="6" customFormat="1" ht="18" customHeight="1" x14ac:dyDescent="0.35">
      <c r="A76" s="4" t="s">
        <v>506</v>
      </c>
      <c r="B76" s="3"/>
      <c r="C76" s="169">
        <v>0</v>
      </c>
      <c r="D76" s="6" t="s">
        <v>294</v>
      </c>
      <c r="F76" s="54" t="s">
        <v>289</v>
      </c>
    </row>
    <row r="77" spans="1:9" ht="18" customHeight="1" x14ac:dyDescent="0.35">
      <c r="A77" s="4" t="s">
        <v>295</v>
      </c>
      <c r="B77" s="2"/>
      <c r="C77" s="165">
        <v>2448.6999999999998</v>
      </c>
      <c r="F77" s="54" t="s">
        <v>296</v>
      </c>
    </row>
    <row r="78" spans="1:9" ht="18" customHeight="1" x14ac:dyDescent="0.35">
      <c r="A78" s="4" t="s">
        <v>361</v>
      </c>
      <c r="C78" s="165">
        <v>0</v>
      </c>
      <c r="F78" s="54" t="s">
        <v>362</v>
      </c>
    </row>
    <row r="79" spans="1:9" ht="18" customHeight="1" thickBot="1" x14ac:dyDescent="0.4">
      <c r="A79" s="4" t="s">
        <v>16</v>
      </c>
      <c r="B79" s="2"/>
      <c r="C79" s="165">
        <v>100</v>
      </c>
      <c r="F79" s="15"/>
    </row>
    <row r="80" spans="1:9" ht="18" customHeight="1" thickBot="1" x14ac:dyDescent="0.4">
      <c r="A80" s="4" t="s">
        <v>407</v>
      </c>
      <c r="B80" s="167"/>
      <c r="C80" s="166" t="s">
        <v>3</v>
      </c>
      <c r="D80" s="6" t="s">
        <v>294</v>
      </c>
      <c r="E80" s="6"/>
      <c r="F80" s="54" t="s">
        <v>498</v>
      </c>
    </row>
    <row r="81" spans="1:6" ht="18" customHeight="1" x14ac:dyDescent="0.35">
      <c r="A81" s="4" t="s">
        <v>17</v>
      </c>
      <c r="B81" s="2"/>
      <c r="C81" s="165">
        <v>119</v>
      </c>
      <c r="F81" s="54" t="s">
        <v>375</v>
      </c>
    </row>
    <row r="82" spans="1:6" ht="18" customHeight="1" x14ac:dyDescent="0.35">
      <c r="A82" s="4" t="s">
        <v>374</v>
      </c>
      <c r="C82" s="165">
        <v>0</v>
      </c>
      <c r="F82" s="54" t="s">
        <v>376</v>
      </c>
    </row>
    <row r="83" spans="1:6" ht="18" customHeight="1" x14ac:dyDescent="0.35">
      <c r="A83" s="4" t="s">
        <v>18</v>
      </c>
      <c r="C83" s="165">
        <v>0</v>
      </c>
      <c r="F83" s="54" t="s">
        <v>409</v>
      </c>
    </row>
    <row r="84" spans="1:6" ht="18" customHeight="1" x14ac:dyDescent="0.35">
      <c r="A84" s="20" t="s">
        <v>22</v>
      </c>
      <c r="C84" s="19">
        <f>SUM(C52:C83)</f>
        <v>37086.189999999995</v>
      </c>
      <c r="F84" s="15"/>
    </row>
    <row r="85" spans="1:6" ht="18" customHeight="1" x14ac:dyDescent="0.35"/>
    <row r="86" spans="1:6" ht="18" customHeight="1" thickBot="1" x14ac:dyDescent="0.4">
      <c r="A86" s="20" t="s">
        <v>532</v>
      </c>
      <c r="C86" s="23">
        <f>(C47-C84)</f>
        <v>-15265.829999999994</v>
      </c>
    </row>
    <row r="87" spans="1:6" ht="18" customHeight="1" thickTop="1" x14ac:dyDescent="0.35"/>
    <row r="88" spans="1:6" ht="18" customHeight="1" x14ac:dyDescent="0.35"/>
    <row r="89" spans="1:6" ht="18" customHeight="1" x14ac:dyDescent="0.35">
      <c r="A89" s="115" t="s">
        <v>357</v>
      </c>
    </row>
    <row r="90" spans="1:6" ht="18" customHeight="1" x14ac:dyDescent="0.35">
      <c r="A90" s="116"/>
    </row>
    <row r="91" spans="1:6" ht="18" customHeight="1" x14ac:dyDescent="0.35">
      <c r="A91" s="6" t="s">
        <v>499</v>
      </c>
    </row>
    <row r="92" spans="1:6" ht="18" customHeight="1" x14ac:dyDescent="0.35">
      <c r="A92" s="2" t="s">
        <v>522</v>
      </c>
      <c r="B92" s="168" t="s">
        <v>379</v>
      </c>
    </row>
    <row r="93" spans="1:6" ht="18" customHeight="1" x14ac:dyDescent="0.35">
      <c r="A93" s="2" t="s">
        <v>280</v>
      </c>
      <c r="B93" s="168" t="s">
        <v>378</v>
      </c>
      <c r="C93" s="117" t="s">
        <v>358</v>
      </c>
    </row>
    <row r="94" spans="1:6" ht="18" customHeight="1" thickBot="1" x14ac:dyDescent="0.4">
      <c r="A94" s="2" t="s">
        <v>281</v>
      </c>
      <c r="B94" s="74" t="s">
        <v>24</v>
      </c>
      <c r="C94" s="117" t="s">
        <v>291</v>
      </c>
    </row>
    <row r="95" spans="1:6" ht="18" customHeight="1" thickBot="1" x14ac:dyDescent="0.4">
      <c r="A95" s="2" t="s">
        <v>282</v>
      </c>
      <c r="B95" s="75" t="s">
        <v>189</v>
      </c>
      <c r="C95" s="18" t="s">
        <v>359</v>
      </c>
    </row>
    <row r="96" spans="1:6" ht="18" customHeight="1" x14ac:dyDescent="0.35">
      <c r="C96" s="117"/>
    </row>
    <row r="97" spans="1:3" ht="18" customHeight="1" x14ac:dyDescent="0.35">
      <c r="A97" s="6" t="s">
        <v>408</v>
      </c>
      <c r="B97" s="2"/>
      <c r="C97" s="117"/>
    </row>
    <row r="98" spans="1:3" ht="18" customHeight="1" thickBot="1" x14ac:dyDescent="0.4">
      <c r="A98" s="2" t="s">
        <v>364</v>
      </c>
      <c r="B98" s="74" t="s">
        <v>24</v>
      </c>
      <c r="C98" s="117" t="s">
        <v>507</v>
      </c>
    </row>
    <row r="99" spans="1:3" ht="18" customHeight="1" x14ac:dyDescent="0.35">
      <c r="A99" s="2" t="s">
        <v>365</v>
      </c>
      <c r="B99" s="168" t="s">
        <v>378</v>
      </c>
      <c r="C99" s="117" t="s">
        <v>500</v>
      </c>
    </row>
    <row r="100" spans="1:3" ht="18" customHeight="1" x14ac:dyDescent="0.35">
      <c r="C100" s="117" t="s">
        <v>366</v>
      </c>
    </row>
    <row r="101" spans="1:3" ht="18" customHeight="1" x14ac:dyDescent="0.35"/>
    <row r="102" spans="1:3" ht="18" customHeight="1" x14ac:dyDescent="0.35">
      <c r="A102" s="6" t="s">
        <v>523</v>
      </c>
    </row>
    <row r="103" spans="1:3" ht="18" customHeight="1" thickBot="1" x14ac:dyDescent="0.4">
      <c r="A103" s="2" t="s">
        <v>283</v>
      </c>
      <c r="B103" s="249" t="s">
        <v>501</v>
      </c>
    </row>
    <row r="104" spans="1:3" ht="18" customHeight="1" thickBot="1" x14ac:dyDescent="0.4">
      <c r="A104" s="2" t="s">
        <v>284</v>
      </c>
      <c r="B104" s="247">
        <v>5640</v>
      </c>
      <c r="C104" s="2"/>
    </row>
    <row r="105" spans="1:3" ht="18" customHeight="1" x14ac:dyDescent="0.35"/>
    <row r="106" spans="1:3" ht="18" customHeight="1" x14ac:dyDescent="0.35"/>
    <row r="107" spans="1:3" ht="18" customHeight="1" x14ac:dyDescent="0.35">
      <c r="A107" s="115" t="s">
        <v>286</v>
      </c>
      <c r="B107" s="240"/>
    </row>
    <row r="108" spans="1:3" ht="18" customHeight="1" x14ac:dyDescent="0.35">
      <c r="A108" s="2" t="s">
        <v>520</v>
      </c>
    </row>
    <row r="109" spans="1:3" ht="18" customHeight="1" x14ac:dyDescent="0.35">
      <c r="A109" s="18" t="s">
        <v>297</v>
      </c>
    </row>
    <row r="110" spans="1:3" ht="18" customHeight="1" x14ac:dyDescent="0.35">
      <c r="A110" s="2" t="s">
        <v>288</v>
      </c>
    </row>
    <row r="111" spans="1:3" ht="18" customHeight="1" x14ac:dyDescent="0.35">
      <c r="A111" s="2" t="s">
        <v>423</v>
      </c>
    </row>
    <row r="112" spans="1:3" ht="18" customHeight="1" x14ac:dyDescent="0.35"/>
    <row r="113" spans="1:10" ht="18" customHeight="1" x14ac:dyDescent="0.35">
      <c r="A113" s="6" t="s">
        <v>524</v>
      </c>
      <c r="B113" s="7" t="s">
        <v>31</v>
      </c>
      <c r="C113" s="7" t="s">
        <v>287</v>
      </c>
    </row>
    <row r="114" spans="1:10" ht="18" customHeight="1" thickBot="1" x14ac:dyDescent="0.4">
      <c r="A114" s="241"/>
      <c r="B114" s="242" t="s">
        <v>24</v>
      </c>
      <c r="C114" s="243"/>
    </row>
    <row r="115" spans="1:10" ht="18" customHeight="1" thickBot="1" x14ac:dyDescent="0.4">
      <c r="A115" s="244"/>
      <c r="B115" s="245" t="s">
        <v>24</v>
      </c>
      <c r="C115" s="246"/>
    </row>
    <row r="116" spans="1:10" ht="18" customHeight="1" thickBot="1" x14ac:dyDescent="0.4">
      <c r="A116" s="244"/>
      <c r="B116" s="245" t="s">
        <v>24</v>
      </c>
      <c r="C116" s="246"/>
    </row>
    <row r="117" spans="1:10" ht="18" customHeight="1" thickBot="1" x14ac:dyDescent="0.4">
      <c r="A117" s="244"/>
      <c r="B117" s="245" t="s">
        <v>24</v>
      </c>
      <c r="C117" s="246"/>
    </row>
    <row r="118" spans="1:10" ht="18" customHeight="1" thickBot="1" x14ac:dyDescent="0.4">
      <c r="A118" s="244"/>
      <c r="B118" s="245" t="s">
        <v>24</v>
      </c>
      <c r="C118" s="246"/>
    </row>
    <row r="119" spans="1:10" ht="18" customHeight="1" thickBot="1" x14ac:dyDescent="0.4">
      <c r="A119" s="244"/>
      <c r="B119" s="245" t="s">
        <v>24</v>
      </c>
      <c r="C119" s="246"/>
    </row>
    <row r="120" spans="1:10" ht="18" customHeight="1" thickBot="1" x14ac:dyDescent="0.4">
      <c r="A120" s="244"/>
      <c r="B120" s="245" t="s">
        <v>24</v>
      </c>
      <c r="C120" s="243"/>
    </row>
    <row r="121" spans="1:10" ht="18" customHeight="1" x14ac:dyDescent="0.35"/>
    <row r="122" spans="1:10" ht="18" customHeight="1" x14ac:dyDescent="0.35">
      <c r="A122" s="262" t="s">
        <v>533</v>
      </c>
      <c r="B122" s="262"/>
      <c r="C122" s="262"/>
      <c r="D122" s="262"/>
      <c r="E122" s="262"/>
      <c r="F122" s="262"/>
      <c r="G122" s="262"/>
      <c r="H122" s="262"/>
      <c r="I122" s="262"/>
      <c r="J122" s="262"/>
    </row>
    <row r="123" spans="1:10" ht="18" customHeight="1" x14ac:dyDescent="0.35">
      <c r="A123" s="262"/>
      <c r="B123" s="262"/>
      <c r="C123" s="262"/>
      <c r="D123" s="262"/>
      <c r="E123" s="262"/>
      <c r="F123" s="262"/>
      <c r="G123" s="262"/>
      <c r="H123" s="262"/>
      <c r="I123" s="262"/>
      <c r="J123" s="262"/>
    </row>
    <row r="124" spans="1:10" ht="18" customHeight="1" x14ac:dyDescent="0.35">
      <c r="A124" s="262"/>
      <c r="B124" s="262"/>
      <c r="C124" s="262"/>
      <c r="D124" s="262"/>
      <c r="E124" s="262"/>
      <c r="F124" s="262"/>
      <c r="G124" s="262"/>
      <c r="H124" s="262"/>
      <c r="I124" s="262"/>
      <c r="J124" s="262"/>
    </row>
    <row r="125" spans="1:10" ht="18" customHeight="1" x14ac:dyDescent="0.35"/>
    <row r="126" spans="1:10" ht="18" customHeight="1" x14ac:dyDescent="0.35"/>
    <row r="127" spans="1:10" ht="18" customHeight="1" x14ac:dyDescent="0.35"/>
    <row r="128" spans="1:10"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sheetData>
  <sheetProtection selectLockedCells="1"/>
  <mergeCells count="1">
    <mergeCell ref="A122:J124"/>
  </mergeCells>
  <dataValidations count="2">
    <dataValidation allowBlank="1" showInputMessage="1" showErrorMessage="1" error="Plesae choose from the responses provided" sqref="E13" xr:uid="{F5604D78-DEBD-4CB1-AD43-436CD8052A5B}"/>
    <dataValidation allowBlank="1" showInputMessage="1" showErrorMessage="1" error="Please choose from the listed responses" sqref="B92:B93 B99" xr:uid="{5346601B-0757-45AE-9814-7D3D0F97FE36}"/>
  </dataValidations>
  <pageMargins left="0.75" right="0.75" top="1" bottom="1" header="0.5" footer="0.5"/>
  <pageSetup paperSize="9" orientation="portrait" horizontalDpi="4294967292" verticalDpi="4294967292"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1"/>
    <pageSetUpPr fitToPage="1"/>
  </sheetPr>
  <dimension ref="A1:R383"/>
  <sheetViews>
    <sheetView showGridLines="0" zoomScale="70" zoomScaleNormal="70" workbookViewId="0">
      <pane ySplit="6" topLeftCell="A7" activePane="bottomLeft" state="frozen"/>
      <selection pane="bottomLeft" activeCell="A28" sqref="A28"/>
    </sheetView>
  </sheetViews>
  <sheetFormatPr defaultColWidth="8.81640625" defaultRowHeight="12.5" x14ac:dyDescent="0.25"/>
  <cols>
    <col min="1" max="1" width="48.54296875" customWidth="1"/>
    <col min="2" max="2" width="46" bestFit="1" customWidth="1"/>
    <col min="3" max="3" width="23.1796875" style="5" customWidth="1"/>
    <col min="4" max="4" width="15.453125" style="5" bestFit="1" customWidth="1"/>
    <col min="5" max="5" width="53" style="5" bestFit="1" customWidth="1"/>
    <col min="6" max="6" width="2" customWidth="1"/>
    <col min="7" max="7" width="22.54296875" customWidth="1"/>
    <col min="8" max="9" width="13.81640625" customWidth="1"/>
    <col min="10" max="10" width="22.81640625" customWidth="1"/>
    <col min="11" max="11" width="12.81640625" customWidth="1"/>
    <col min="12" max="12" width="13.26953125" customWidth="1"/>
    <col min="13" max="13" width="13" customWidth="1"/>
    <col min="14" max="14" width="12.7265625" customWidth="1"/>
    <col min="17" max="17" width="10.54296875" customWidth="1"/>
  </cols>
  <sheetData>
    <row r="1" spans="1:17" ht="18" customHeight="1" x14ac:dyDescent="0.35">
      <c r="A1" s="6" t="s">
        <v>531</v>
      </c>
      <c r="D1"/>
      <c r="E1"/>
      <c r="H1" s="51"/>
      <c r="I1" s="51"/>
      <c r="J1" s="51"/>
      <c r="K1" s="51"/>
      <c r="L1" s="51"/>
    </row>
    <row r="2" spans="1:17" s="10" customFormat="1" ht="18" customHeight="1" x14ac:dyDescent="0.4">
      <c r="B2" s="1"/>
      <c r="C2"/>
      <c r="D2"/>
      <c r="E2"/>
      <c r="F2"/>
      <c r="G2"/>
      <c r="H2" s="121"/>
      <c r="I2" s="121"/>
      <c r="J2" s="121"/>
      <c r="K2" s="121"/>
      <c r="L2" s="121"/>
    </row>
    <row r="3" spans="1:17" s="2" customFormat="1" ht="18" customHeight="1" x14ac:dyDescent="0.35">
      <c r="A3" s="256" t="s">
        <v>515</v>
      </c>
      <c r="B3" s="257">
        <f>'Property 5'!B3+'Property 4'!B3+'Property 3'!B3+'Property 2'!B3+'7 Rosella Close'!B3+'Property 6'!B3+'Property 7'!B3+'Property 8'!B3+'Property 9'!B3+'Property 10'!B3+'Property 11'!B3</f>
        <v>-55152.129999999939</v>
      </c>
      <c r="C3"/>
      <c r="D3"/>
      <c r="E3"/>
      <c r="F3"/>
      <c r="G3"/>
      <c r="H3"/>
      <c r="I3"/>
      <c r="J3"/>
      <c r="K3"/>
    </row>
    <row r="4" spans="1:17" s="2" customFormat="1" ht="18" customHeight="1" x14ac:dyDescent="0.35">
      <c r="A4" s="256" t="s">
        <v>502</v>
      </c>
      <c r="B4" s="257">
        <f>'Property 5'!B4+'Property 4'!B4+'Property 3'!B4+'Property 2'!B4+'7 Rosella Close'!B4+'Property 6'!B4+'Property 7'!B4+'Property 8'!B4+'Property 9'!B4+'Property 10'!B4+'Property 11'!B4</f>
        <v>62131.928099999961</v>
      </c>
      <c r="C4"/>
      <c r="D4"/>
      <c r="E4"/>
      <c r="F4"/>
      <c r="G4"/>
      <c r="H4"/>
      <c r="I4"/>
      <c r="J4"/>
      <c r="K4"/>
    </row>
    <row r="5" spans="1:17" s="2" customFormat="1" ht="18" customHeight="1" x14ac:dyDescent="0.35">
      <c r="A5" s="256" t="s">
        <v>516</v>
      </c>
      <c r="B5" s="257">
        <f>'Property 5'!B5+'Property 4'!B5+'Property 3'!B5+'Property 2'!B5+'7 Rosella Close'!B5+'Property 6'!B5+'Property 7'!B5+'Property 8'!B5+'Property 9'!B5+'Property 10'!B5+'Property 11'!B5</f>
        <v>6979.7981000000327</v>
      </c>
      <c r="C5"/>
      <c r="D5"/>
      <c r="E5"/>
      <c r="F5"/>
      <c r="G5"/>
      <c r="H5"/>
      <c r="I5"/>
      <c r="J5"/>
      <c r="K5"/>
    </row>
    <row r="6" spans="1:17" s="2" customFormat="1" ht="18" customHeight="1" x14ac:dyDescent="0.35">
      <c r="C6"/>
      <c r="D6"/>
      <c r="E6"/>
      <c r="F6"/>
      <c r="G6"/>
      <c r="H6"/>
      <c r="I6"/>
      <c r="J6"/>
      <c r="K6"/>
      <c r="O6" s="55"/>
      <c r="P6" s="55"/>
      <c r="Q6" s="55"/>
    </row>
    <row r="7" spans="1:17" s="2" customFormat="1" ht="18" customHeight="1" x14ac:dyDescent="0.35">
      <c r="A7" s="125"/>
      <c r="B7" s="250"/>
      <c r="C7" s="126"/>
      <c r="D7" s="126"/>
      <c r="E7" s="126"/>
      <c r="F7" s="55"/>
      <c r="G7" s="47"/>
      <c r="H7" s="47"/>
      <c r="I7" s="47"/>
      <c r="J7" s="55"/>
      <c r="K7" s="44"/>
      <c r="L7" s="55"/>
      <c r="M7" s="118"/>
      <c r="N7" s="55"/>
      <c r="O7" s="55"/>
      <c r="P7" s="55"/>
      <c r="Q7" s="55"/>
    </row>
    <row r="8" spans="1:17" s="2" customFormat="1" ht="18" customHeight="1" x14ac:dyDescent="0.35">
      <c r="A8" s="125"/>
      <c r="B8" s="250"/>
      <c r="C8" s="251" t="s">
        <v>0</v>
      </c>
      <c r="D8" s="251" t="s">
        <v>1</v>
      </c>
      <c r="E8" s="251" t="s">
        <v>532</v>
      </c>
      <c r="F8" s="55"/>
      <c r="G8" s="44"/>
      <c r="H8" s="47"/>
      <c r="I8" s="47"/>
      <c r="J8" s="55"/>
      <c r="K8" s="47"/>
      <c r="L8" s="47"/>
      <c r="M8" s="47"/>
      <c r="N8" s="47"/>
      <c r="O8" s="55"/>
      <c r="P8" s="55"/>
      <c r="Q8" s="55"/>
    </row>
    <row r="9" spans="1:17" s="2" customFormat="1" ht="18" customHeight="1" x14ac:dyDescent="0.35">
      <c r="A9" s="125" t="s">
        <v>492</v>
      </c>
      <c r="B9" s="252" t="str">
        <f>('7 Rosella Close'!A8)</f>
        <v>7 Rosella Close, Mount Sheridan QLD 4868</v>
      </c>
      <c r="C9" s="253">
        <f>('7 Rosella Close'!$C$47)</f>
        <v>21820.36</v>
      </c>
      <c r="D9" s="253">
        <f>('7 Rosella Close'!$C$84)</f>
        <v>37086.189999999995</v>
      </c>
      <c r="E9" s="254">
        <f>(C9-D9)</f>
        <v>-15265.829999999994</v>
      </c>
      <c r="F9" s="55"/>
      <c r="G9"/>
      <c r="H9"/>
      <c r="I9"/>
      <c r="J9"/>
      <c r="K9"/>
      <c r="L9"/>
      <c r="M9"/>
      <c r="N9"/>
      <c r="O9"/>
      <c r="P9" s="55"/>
      <c r="Q9" s="55"/>
    </row>
    <row r="10" spans="1:17" s="2" customFormat="1" ht="18" customHeight="1" x14ac:dyDescent="0.35">
      <c r="A10" s="125" t="s">
        <v>508</v>
      </c>
      <c r="B10" s="252" t="str">
        <f>('Property 2'!A$8)</f>
        <v>Address</v>
      </c>
      <c r="C10" s="253">
        <f>('Property 2'!$C$47)</f>
        <v>21820.36</v>
      </c>
      <c r="D10" s="253">
        <f>('Property 2'!$C$84)</f>
        <v>37086.189999999995</v>
      </c>
      <c r="E10" s="254">
        <f t="shared" ref="E10:E13" si="0">(C10-D10)</f>
        <v>-15265.829999999994</v>
      </c>
      <c r="F10" s="55"/>
      <c r="G10"/>
      <c r="H10"/>
      <c r="I10"/>
      <c r="J10"/>
      <c r="K10"/>
      <c r="L10"/>
      <c r="M10"/>
      <c r="N10"/>
      <c r="O10"/>
      <c r="P10" s="55"/>
      <c r="Q10" s="55"/>
    </row>
    <row r="11" spans="1:17" s="2" customFormat="1" ht="18" customHeight="1" x14ac:dyDescent="0.35">
      <c r="A11" s="125" t="s">
        <v>509</v>
      </c>
      <c r="B11" s="252" t="str">
        <f>('Property 3'!A$8)</f>
        <v>Address</v>
      </c>
      <c r="C11" s="253">
        <f>('Property 3'!$C$47)</f>
        <v>21820.36</v>
      </c>
      <c r="D11" s="253">
        <f>('Property 3'!$C$84)</f>
        <v>37086.189999999995</v>
      </c>
      <c r="E11" s="254">
        <f t="shared" si="0"/>
        <v>-15265.829999999994</v>
      </c>
      <c r="F11" s="55"/>
      <c r="G11"/>
      <c r="H11"/>
      <c r="I11"/>
      <c r="J11"/>
      <c r="K11"/>
      <c r="L11"/>
      <c r="M11"/>
      <c r="N11"/>
      <c r="O11"/>
      <c r="P11" s="55"/>
      <c r="Q11" s="55"/>
    </row>
    <row r="12" spans="1:17" s="2" customFormat="1" ht="18" customHeight="1" x14ac:dyDescent="0.35">
      <c r="A12" s="125" t="s">
        <v>510</v>
      </c>
      <c r="B12" s="252" t="str">
        <f>('Property 4'!A$8)</f>
        <v>Address</v>
      </c>
      <c r="C12" s="253">
        <f>('Property 4'!$C$47)</f>
        <v>21820.36</v>
      </c>
      <c r="D12" s="253">
        <f>('Property 4'!$C$84)</f>
        <v>37086.189999999995</v>
      </c>
      <c r="E12" s="254">
        <f t="shared" si="0"/>
        <v>-15265.829999999994</v>
      </c>
      <c r="F12" s="55"/>
      <c r="G12"/>
      <c r="H12"/>
      <c r="I12"/>
      <c r="J12"/>
      <c r="K12"/>
      <c r="L12"/>
      <c r="M12"/>
      <c r="N12"/>
      <c r="O12"/>
      <c r="P12" s="55"/>
      <c r="Q12" s="120"/>
    </row>
    <row r="13" spans="1:17" s="2" customFormat="1" ht="18" customHeight="1" x14ac:dyDescent="0.4">
      <c r="A13" s="125" t="s">
        <v>511</v>
      </c>
      <c r="B13" s="252" t="str">
        <f>('Property 5'!A$8)</f>
        <v>Address</v>
      </c>
      <c r="C13" s="253">
        <f>('Property 5'!$C$47)</f>
        <v>21820.36</v>
      </c>
      <c r="D13" s="253">
        <f>('Property 5'!$C$84)</f>
        <v>37086.189999999995</v>
      </c>
      <c r="E13" s="254">
        <f t="shared" si="0"/>
        <v>-15265.829999999994</v>
      </c>
      <c r="F13" s="55"/>
      <c r="G13" s="171"/>
      <c r="H13" s="174"/>
      <c r="I13" s="156"/>
      <c r="J13" s="156"/>
      <c r="K13" s="156"/>
      <c r="L13" s="156"/>
      <c r="M13" s="55"/>
      <c r="N13" s="55"/>
      <c r="O13" s="119"/>
      <c r="P13" s="55"/>
      <c r="Q13" s="120"/>
    </row>
    <row r="14" spans="1:17" s="2" customFormat="1" ht="18" customHeight="1" x14ac:dyDescent="0.4">
      <c r="A14" s="125" t="s">
        <v>525</v>
      </c>
      <c r="B14" s="252" t="str">
        <f>'Property 6'!A8</f>
        <v>Address</v>
      </c>
      <c r="C14" s="253">
        <f>('Property 6'!$C$47)</f>
        <v>21820.36</v>
      </c>
      <c r="D14" s="253">
        <f>('Property 6'!$C$84)</f>
        <v>37086.189999999995</v>
      </c>
      <c r="E14" s="254">
        <f t="shared" ref="E14:E19" si="1">(C14-D14)</f>
        <v>-15265.829999999994</v>
      </c>
      <c r="F14" s="55"/>
      <c r="G14" s="171"/>
      <c r="H14" s="174"/>
      <c r="I14" s="156"/>
      <c r="J14" s="156"/>
      <c r="K14" s="156"/>
      <c r="L14" s="156"/>
      <c r="M14" s="55"/>
      <c r="N14" s="55"/>
      <c r="O14" s="119"/>
      <c r="P14" s="55"/>
      <c r="Q14" s="120"/>
    </row>
    <row r="15" spans="1:17" s="2" customFormat="1" ht="18" customHeight="1" x14ac:dyDescent="0.4">
      <c r="A15" s="125" t="s">
        <v>526</v>
      </c>
      <c r="B15" s="252" t="str">
        <f>'Property 7'!A8</f>
        <v>Address</v>
      </c>
      <c r="C15" s="253">
        <f>('Property 7'!$C$47)</f>
        <v>21820.36</v>
      </c>
      <c r="D15" s="253">
        <f>('Property 7'!$C$84)</f>
        <v>37086.189999999995</v>
      </c>
      <c r="E15" s="254">
        <f t="shared" si="1"/>
        <v>-15265.829999999994</v>
      </c>
      <c r="F15" s="55"/>
      <c r="G15" s="171"/>
      <c r="H15" s="174"/>
      <c r="I15" s="156"/>
      <c r="J15" s="156"/>
      <c r="K15" s="156"/>
      <c r="L15" s="156"/>
      <c r="M15" s="55"/>
      <c r="N15" s="55"/>
      <c r="O15" s="119"/>
      <c r="P15" s="55"/>
      <c r="Q15" s="120"/>
    </row>
    <row r="16" spans="1:17" s="2" customFormat="1" ht="18" customHeight="1" x14ac:dyDescent="0.4">
      <c r="A16" s="125" t="s">
        <v>527</v>
      </c>
      <c r="B16" s="252" t="str">
        <f>'Property 8'!A8</f>
        <v>Address</v>
      </c>
      <c r="C16" s="253">
        <f>('Property 8'!$C$47)</f>
        <v>21820.36</v>
      </c>
      <c r="D16" s="253">
        <f>('Property 8'!$C$84)</f>
        <v>37086.189999999995</v>
      </c>
      <c r="E16" s="254">
        <f t="shared" si="1"/>
        <v>-15265.829999999994</v>
      </c>
      <c r="F16" s="55"/>
      <c r="G16" s="171"/>
      <c r="H16" s="174"/>
      <c r="I16" s="156"/>
      <c r="J16" s="156"/>
      <c r="K16" s="156"/>
      <c r="L16" s="156"/>
      <c r="M16" s="55"/>
      <c r="N16" s="55"/>
      <c r="O16" s="119"/>
      <c r="P16" s="55"/>
      <c r="Q16" s="120"/>
    </row>
    <row r="17" spans="1:18" s="2" customFormat="1" ht="18" customHeight="1" x14ac:dyDescent="0.4">
      <c r="A17" s="125" t="s">
        <v>528</v>
      </c>
      <c r="B17" s="252" t="str">
        <f>'Property 9'!A8</f>
        <v>Address</v>
      </c>
      <c r="C17" s="253">
        <f>('Property 9'!$C$47)</f>
        <v>21820.36</v>
      </c>
      <c r="D17" s="253">
        <f>('Property 9'!$C$84)</f>
        <v>37086.189999999995</v>
      </c>
      <c r="E17" s="254">
        <f t="shared" si="1"/>
        <v>-15265.829999999994</v>
      </c>
      <c r="F17" s="55"/>
      <c r="G17" s="171"/>
      <c r="H17" s="174"/>
      <c r="I17" s="156"/>
      <c r="J17" s="156"/>
      <c r="K17" s="156"/>
      <c r="L17" s="156"/>
      <c r="M17" s="55"/>
      <c r="N17" s="55"/>
      <c r="O17" s="119"/>
      <c r="P17" s="55"/>
      <c r="Q17" s="120"/>
    </row>
    <row r="18" spans="1:18" s="2" customFormat="1" ht="18" customHeight="1" x14ac:dyDescent="0.4">
      <c r="A18" s="125" t="s">
        <v>529</v>
      </c>
      <c r="B18" s="252" t="str">
        <f>'Property 10'!A8</f>
        <v>Address</v>
      </c>
      <c r="C18" s="253">
        <f>('Property 10'!$C$47)</f>
        <v>21820.36</v>
      </c>
      <c r="D18" s="253">
        <f>('Property 10'!$C$84)</f>
        <v>37086.189999999995</v>
      </c>
      <c r="E18" s="254">
        <f t="shared" si="1"/>
        <v>-15265.829999999994</v>
      </c>
      <c r="F18" s="55"/>
      <c r="G18" s="171"/>
      <c r="H18" s="174"/>
      <c r="I18" s="156"/>
      <c r="J18" s="156"/>
      <c r="K18" s="156"/>
      <c r="L18" s="156"/>
      <c r="M18" s="55"/>
      <c r="N18" s="55"/>
      <c r="O18" s="119"/>
      <c r="P18" s="55"/>
      <c r="Q18" s="120"/>
    </row>
    <row r="19" spans="1:18" s="11" customFormat="1" ht="18" customHeight="1" x14ac:dyDescent="0.35">
      <c r="A19" s="125" t="s">
        <v>530</v>
      </c>
      <c r="B19" s="252" t="str">
        <f>'Property 11'!A8</f>
        <v>Address</v>
      </c>
      <c r="C19" s="253">
        <f>('Property 11'!$C$47)</f>
        <v>21820.36</v>
      </c>
      <c r="D19" s="253">
        <f>('Property 11'!$C$84)</f>
        <v>37086.189999999995</v>
      </c>
      <c r="E19" s="254">
        <f t="shared" si="1"/>
        <v>-15265.829999999994</v>
      </c>
      <c r="F19" s="47"/>
      <c r="G19" s="47"/>
      <c r="H19" s="47"/>
      <c r="I19" s="47"/>
      <c r="J19" s="47"/>
      <c r="K19" s="47"/>
      <c r="L19" s="47"/>
      <c r="M19" s="47"/>
      <c r="N19" s="47"/>
      <c r="O19" s="47"/>
      <c r="P19" s="47"/>
      <c r="Q19" s="47"/>
    </row>
    <row r="20" spans="1:18" s="11" customFormat="1" ht="18" customHeight="1" thickBot="1" x14ac:dyDescent="0.4">
      <c r="A20" s="125"/>
      <c r="B20" s="252"/>
      <c r="C20" s="255">
        <f>SUM(C9:C19)</f>
        <v>240023.95999999996</v>
      </c>
      <c r="D20" s="255">
        <f>SUM(D9:D19)</f>
        <v>407948.08999999997</v>
      </c>
      <c r="E20" s="255">
        <f>SUM(E9:E19)</f>
        <v>-167924.12999999989</v>
      </c>
      <c r="F20" s="47"/>
      <c r="G20" s="47"/>
      <c r="H20" s="47"/>
      <c r="I20" s="47"/>
      <c r="J20" s="47"/>
      <c r="K20" s="47"/>
      <c r="L20" s="47"/>
      <c r="M20" s="47"/>
      <c r="N20" s="47"/>
      <c r="O20" s="47"/>
      <c r="P20" s="47"/>
      <c r="Q20" s="47"/>
    </row>
    <row r="21" spans="1:18" s="51" customFormat="1" ht="18" customHeight="1" thickTop="1" x14ac:dyDescent="0.25">
      <c r="C21" s="52"/>
      <c r="D21" s="52"/>
      <c r="E21" s="52"/>
    </row>
    <row r="22" spans="1:18" ht="18" customHeight="1" x14ac:dyDescent="0.35">
      <c r="A22" s="115" t="s">
        <v>517</v>
      </c>
      <c r="B22" s="115"/>
      <c r="C22"/>
      <c r="D22"/>
      <c r="E22"/>
      <c r="H22" s="46"/>
      <c r="I22" s="46"/>
      <c r="J22" s="46"/>
      <c r="K22" s="46"/>
      <c r="L22" s="46"/>
      <c r="M22" s="46"/>
      <c r="N22" s="46"/>
      <c r="O22" s="46"/>
      <c r="P22" s="46"/>
      <c r="Q22" s="46"/>
      <c r="R22" s="46"/>
    </row>
    <row r="23" spans="1:18" ht="18" customHeight="1" x14ac:dyDescent="0.25">
      <c r="C23"/>
      <c r="D23"/>
      <c r="E23"/>
      <c r="P23" s="46"/>
      <c r="Q23" s="46"/>
      <c r="R23" s="46"/>
    </row>
    <row r="24" spans="1:18" ht="18" customHeight="1" x14ac:dyDescent="0.25">
      <c r="A24" s="222" t="s">
        <v>443</v>
      </c>
      <c r="B24" s="222"/>
      <c r="C24"/>
      <c r="D24"/>
      <c r="E24"/>
      <c r="P24" s="46"/>
      <c r="Q24" s="46"/>
      <c r="R24" s="46"/>
    </row>
    <row r="25" spans="1:18" ht="18" customHeight="1" x14ac:dyDescent="0.55000000000000004">
      <c r="A25" s="223" t="s">
        <v>443</v>
      </c>
      <c r="B25" s="224"/>
      <c r="C25"/>
      <c r="D25"/>
      <c r="E25"/>
      <c r="P25" s="46"/>
      <c r="Q25" s="46"/>
      <c r="R25" s="46"/>
    </row>
    <row r="26" spans="1:18" ht="18" customHeight="1" x14ac:dyDescent="0.35">
      <c r="A26" s="2"/>
      <c r="B26" s="2"/>
      <c r="C26"/>
      <c r="D26"/>
      <c r="E26"/>
      <c r="P26" s="46"/>
      <c r="Q26" s="46"/>
      <c r="R26" s="46"/>
    </row>
    <row r="27" spans="1:18" ht="18" customHeight="1" x14ac:dyDescent="0.25">
      <c r="A27" s="222" t="s">
        <v>443</v>
      </c>
      <c r="B27" s="222"/>
      <c r="C27"/>
      <c r="D27"/>
      <c r="E27"/>
      <c r="P27" s="46"/>
      <c r="Q27" s="46"/>
      <c r="R27" s="46"/>
    </row>
    <row r="28" spans="1:18" ht="18" customHeight="1" x14ac:dyDescent="0.55000000000000004">
      <c r="A28" s="223" t="s">
        <v>443</v>
      </c>
      <c r="B28" s="223"/>
      <c r="C28"/>
      <c r="D28"/>
      <c r="E28"/>
      <c r="P28" s="46"/>
      <c r="Q28" s="46"/>
      <c r="R28" s="46"/>
    </row>
    <row r="29" spans="1:18" ht="18" customHeight="1" x14ac:dyDescent="0.55000000000000004">
      <c r="A29" s="223"/>
      <c r="B29" s="223"/>
      <c r="C29"/>
      <c r="D29"/>
      <c r="E29"/>
      <c r="P29" s="46"/>
      <c r="Q29" s="46"/>
      <c r="R29" s="46"/>
    </row>
    <row r="30" spans="1:18" ht="18" customHeight="1" x14ac:dyDescent="0.25">
      <c r="A30" s="222" t="s">
        <v>443</v>
      </c>
      <c r="B30" s="222"/>
      <c r="C30"/>
      <c r="D30"/>
      <c r="E30"/>
      <c r="P30" s="46"/>
      <c r="Q30" s="46"/>
      <c r="R30" s="46"/>
    </row>
    <row r="31" spans="1:18" ht="18" customHeight="1" x14ac:dyDescent="0.55000000000000004">
      <c r="A31" s="223" t="s">
        <v>443</v>
      </c>
      <c r="B31" s="223"/>
      <c r="C31"/>
      <c r="D31"/>
      <c r="E31"/>
      <c r="P31" s="46"/>
      <c r="Q31" s="46"/>
      <c r="R31" s="46"/>
    </row>
    <row r="32" spans="1:18" ht="18" customHeight="1" x14ac:dyDescent="0.25">
      <c r="C32"/>
      <c r="D32"/>
      <c r="E32"/>
    </row>
    <row r="33" spans="1:10" ht="18" customHeight="1" x14ac:dyDescent="0.25">
      <c r="C33"/>
      <c r="D33"/>
      <c r="E33"/>
    </row>
    <row r="34" spans="1:10" ht="18" customHeight="1" x14ac:dyDescent="0.25">
      <c r="C34"/>
      <c r="D34"/>
      <c r="E34"/>
    </row>
    <row r="35" spans="1:10" ht="18" customHeight="1" x14ac:dyDescent="0.25">
      <c r="C35"/>
      <c r="D35"/>
      <c r="E35"/>
    </row>
    <row r="36" spans="1:10" ht="18" customHeight="1" x14ac:dyDescent="0.25">
      <c r="A36" s="262" t="s">
        <v>533</v>
      </c>
      <c r="B36" s="262"/>
      <c r="C36" s="262"/>
      <c r="D36" s="262"/>
      <c r="E36" s="262"/>
      <c r="F36" s="262"/>
      <c r="G36" s="262"/>
      <c r="H36" s="262"/>
      <c r="I36" s="262"/>
      <c r="J36" s="262"/>
    </row>
    <row r="37" spans="1:10" ht="18" customHeight="1" x14ac:dyDescent="0.25">
      <c r="A37" s="262"/>
      <c r="B37" s="262"/>
      <c r="C37" s="262"/>
      <c r="D37" s="262"/>
      <c r="E37" s="262"/>
      <c r="F37" s="262"/>
      <c r="G37" s="262"/>
      <c r="H37" s="262"/>
      <c r="I37" s="262"/>
      <c r="J37" s="262"/>
    </row>
    <row r="38" spans="1:10" ht="18" customHeight="1" x14ac:dyDescent="0.25">
      <c r="A38" s="262"/>
      <c r="B38" s="262"/>
      <c r="C38" s="262"/>
      <c r="D38" s="262"/>
      <c r="E38" s="262"/>
      <c r="F38" s="262"/>
      <c r="G38" s="262"/>
      <c r="H38" s="262"/>
      <c r="I38" s="262"/>
      <c r="J38" s="262"/>
    </row>
    <row r="39" spans="1:10" ht="18" customHeight="1" x14ac:dyDescent="0.25"/>
    <row r="40" spans="1:10" ht="18" customHeight="1" x14ac:dyDescent="0.25"/>
    <row r="41" spans="1:10" ht="18" customHeight="1" x14ac:dyDescent="0.25"/>
    <row r="42" spans="1:10" ht="18" customHeight="1" x14ac:dyDescent="0.25"/>
    <row r="43" spans="1:10" ht="18" customHeight="1" x14ac:dyDescent="0.25"/>
    <row r="44" spans="1:10" ht="18" customHeight="1" x14ac:dyDescent="0.25"/>
    <row r="45" spans="1:10" ht="18" customHeight="1" x14ac:dyDescent="0.25"/>
    <row r="46" spans="1:10" ht="18" customHeight="1" x14ac:dyDescent="0.25"/>
    <row r="47" spans="1:10" ht="18" customHeight="1" x14ac:dyDescent="0.25"/>
    <row r="48" spans="1:10"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row r="101" ht="18" customHeight="1" x14ac:dyDescent="0.25"/>
    <row r="102" ht="18" customHeight="1" x14ac:dyDescent="0.25"/>
    <row r="103" ht="18" customHeight="1" x14ac:dyDescent="0.25"/>
    <row r="104" ht="18" customHeight="1" x14ac:dyDescent="0.25"/>
    <row r="105" ht="18" customHeight="1" x14ac:dyDescent="0.25"/>
    <row r="106" ht="18" customHeight="1" x14ac:dyDescent="0.25"/>
    <row r="107" ht="18" customHeight="1" x14ac:dyDescent="0.25"/>
    <row r="108" ht="18" customHeight="1" x14ac:dyDescent="0.25"/>
    <row r="109" ht="18" customHeight="1" x14ac:dyDescent="0.25"/>
    <row r="110" ht="18" customHeight="1" x14ac:dyDescent="0.25"/>
    <row r="111" ht="18" customHeight="1" x14ac:dyDescent="0.25"/>
    <row r="112" ht="18" customHeight="1" x14ac:dyDescent="0.25"/>
    <row r="113" ht="18" customHeight="1" x14ac:dyDescent="0.25"/>
    <row r="114" ht="18" customHeight="1" x14ac:dyDescent="0.25"/>
    <row r="115" ht="18" customHeight="1" x14ac:dyDescent="0.25"/>
    <row r="116" ht="18" customHeight="1" x14ac:dyDescent="0.25"/>
    <row r="117" ht="18" customHeight="1" x14ac:dyDescent="0.25"/>
    <row r="118" ht="18" customHeight="1" x14ac:dyDescent="0.25"/>
    <row r="119" ht="18" customHeight="1" x14ac:dyDescent="0.25"/>
    <row r="120" ht="18" customHeight="1" x14ac:dyDescent="0.25"/>
    <row r="121" ht="18" customHeight="1" x14ac:dyDescent="0.25"/>
    <row r="122" ht="18" customHeight="1" x14ac:dyDescent="0.25"/>
    <row r="123" ht="18" customHeight="1" x14ac:dyDescent="0.25"/>
    <row r="124" ht="18" customHeight="1" x14ac:dyDescent="0.25"/>
    <row r="125" ht="18" customHeight="1" x14ac:dyDescent="0.25"/>
    <row r="126" ht="18" customHeight="1" x14ac:dyDescent="0.25"/>
    <row r="127" ht="18" customHeight="1" x14ac:dyDescent="0.25"/>
    <row r="128" ht="18" customHeight="1" x14ac:dyDescent="0.25"/>
    <row r="129" ht="18" customHeight="1" x14ac:dyDescent="0.25"/>
    <row r="130" ht="18" customHeight="1" x14ac:dyDescent="0.25"/>
    <row r="131" ht="18" customHeight="1" x14ac:dyDescent="0.25"/>
    <row r="132" ht="18" customHeight="1" x14ac:dyDescent="0.25"/>
    <row r="133" ht="18" customHeight="1" x14ac:dyDescent="0.25"/>
    <row r="134" ht="18" customHeight="1" x14ac:dyDescent="0.25"/>
    <row r="135" ht="18" customHeight="1" x14ac:dyDescent="0.25"/>
    <row r="136" ht="18" customHeight="1" x14ac:dyDescent="0.25"/>
    <row r="137" ht="18" customHeight="1" x14ac:dyDescent="0.25"/>
    <row r="138" ht="18" customHeight="1" x14ac:dyDescent="0.25"/>
    <row r="139" ht="18" customHeight="1" x14ac:dyDescent="0.25"/>
    <row r="140" ht="18" customHeight="1" x14ac:dyDescent="0.25"/>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row r="172" ht="18" customHeight="1" x14ac:dyDescent="0.25"/>
    <row r="173" ht="18" customHeight="1" x14ac:dyDescent="0.25"/>
    <row r="174" ht="18" customHeight="1" x14ac:dyDescent="0.25"/>
    <row r="175" ht="18" customHeight="1" x14ac:dyDescent="0.25"/>
    <row r="176" ht="18" customHeight="1" x14ac:dyDescent="0.25"/>
    <row r="177" ht="18" customHeight="1" x14ac:dyDescent="0.25"/>
    <row r="178" ht="18" customHeight="1" x14ac:dyDescent="0.25"/>
    <row r="179" ht="18" customHeight="1" x14ac:dyDescent="0.25"/>
    <row r="180" ht="18" customHeight="1" x14ac:dyDescent="0.25"/>
    <row r="181" ht="18" customHeight="1" x14ac:dyDescent="0.25"/>
    <row r="182" ht="18" customHeight="1" x14ac:dyDescent="0.25"/>
    <row r="183" ht="18" customHeight="1" x14ac:dyDescent="0.25"/>
    <row r="184" ht="18" customHeight="1" x14ac:dyDescent="0.25"/>
    <row r="185" ht="18" customHeight="1" x14ac:dyDescent="0.25"/>
    <row r="186" ht="18" customHeight="1" x14ac:dyDescent="0.25"/>
    <row r="187" ht="18" customHeight="1" x14ac:dyDescent="0.25"/>
    <row r="188" ht="18" customHeight="1" x14ac:dyDescent="0.25"/>
    <row r="189" ht="18" customHeight="1" x14ac:dyDescent="0.25"/>
    <row r="190" ht="18" customHeight="1" x14ac:dyDescent="0.25"/>
    <row r="191" ht="18" customHeight="1" x14ac:dyDescent="0.25"/>
    <row r="192" ht="18" customHeight="1" x14ac:dyDescent="0.25"/>
    <row r="193" ht="18" customHeight="1" x14ac:dyDescent="0.25"/>
    <row r="194" ht="18" customHeight="1" x14ac:dyDescent="0.25"/>
    <row r="195" ht="18" customHeight="1" x14ac:dyDescent="0.25"/>
    <row r="196" ht="18" customHeight="1" x14ac:dyDescent="0.25"/>
    <row r="197" ht="18" customHeight="1" x14ac:dyDescent="0.25"/>
    <row r="198" ht="18" customHeight="1" x14ac:dyDescent="0.25"/>
    <row r="199" ht="18" customHeight="1" x14ac:dyDescent="0.25"/>
    <row r="200" ht="18" customHeight="1" x14ac:dyDescent="0.25"/>
    <row r="201" ht="18" customHeight="1" x14ac:dyDescent="0.25"/>
    <row r="202" ht="18" customHeight="1" x14ac:dyDescent="0.25"/>
    <row r="203" ht="18" customHeight="1" x14ac:dyDescent="0.25"/>
    <row r="204" ht="18" customHeight="1" x14ac:dyDescent="0.25"/>
    <row r="205" ht="18" customHeight="1" x14ac:dyDescent="0.25"/>
    <row r="206" ht="18" customHeight="1" x14ac:dyDescent="0.25"/>
    <row r="207" ht="18" customHeight="1" x14ac:dyDescent="0.25"/>
    <row r="208" ht="18" customHeight="1" x14ac:dyDescent="0.25"/>
    <row r="209" ht="18" customHeight="1" x14ac:dyDescent="0.25"/>
    <row r="210" ht="18" customHeight="1" x14ac:dyDescent="0.25"/>
    <row r="211" ht="18" customHeight="1" x14ac:dyDescent="0.25"/>
    <row r="212" ht="18" customHeight="1" x14ac:dyDescent="0.25"/>
    <row r="213" ht="18" customHeight="1" x14ac:dyDescent="0.25"/>
    <row r="214" ht="18" customHeight="1" x14ac:dyDescent="0.25"/>
    <row r="215" ht="18" customHeight="1" x14ac:dyDescent="0.25"/>
    <row r="216" ht="18" customHeight="1" x14ac:dyDescent="0.25"/>
    <row r="217" ht="18" customHeight="1" x14ac:dyDescent="0.25"/>
    <row r="218" ht="18" customHeight="1" x14ac:dyDescent="0.25"/>
    <row r="219" ht="18" customHeight="1" x14ac:dyDescent="0.25"/>
    <row r="220" ht="18" customHeight="1" x14ac:dyDescent="0.25"/>
    <row r="221" ht="18" customHeight="1" x14ac:dyDescent="0.25"/>
    <row r="222" ht="18" customHeight="1" x14ac:dyDescent="0.25"/>
    <row r="223" ht="18" customHeight="1" x14ac:dyDescent="0.25"/>
    <row r="224" ht="18" customHeight="1" x14ac:dyDescent="0.25"/>
    <row r="225" ht="18" customHeight="1" x14ac:dyDescent="0.25"/>
    <row r="226" ht="18" customHeight="1" x14ac:dyDescent="0.25"/>
    <row r="227" ht="18" customHeight="1" x14ac:dyDescent="0.25"/>
    <row r="228" ht="18" customHeight="1" x14ac:dyDescent="0.25"/>
    <row r="229" ht="18" customHeight="1" x14ac:dyDescent="0.25"/>
    <row r="230" ht="18" customHeight="1" x14ac:dyDescent="0.25"/>
    <row r="231" ht="18" customHeight="1" x14ac:dyDescent="0.25"/>
    <row r="232" ht="18" customHeight="1" x14ac:dyDescent="0.25"/>
    <row r="233" ht="18" customHeight="1" x14ac:dyDescent="0.25"/>
    <row r="234" ht="18" customHeight="1" x14ac:dyDescent="0.25"/>
    <row r="235" ht="18" customHeight="1" x14ac:dyDescent="0.25"/>
    <row r="236" ht="18" customHeight="1" x14ac:dyDescent="0.25"/>
    <row r="237" ht="18" customHeight="1" x14ac:dyDescent="0.25"/>
    <row r="238" ht="18" customHeight="1" x14ac:dyDescent="0.25"/>
    <row r="239" ht="18" customHeight="1" x14ac:dyDescent="0.25"/>
    <row r="240" ht="18" customHeight="1" x14ac:dyDescent="0.25"/>
    <row r="241" ht="18" customHeight="1" x14ac:dyDescent="0.25"/>
    <row r="242" ht="18" customHeight="1" x14ac:dyDescent="0.25"/>
    <row r="243" ht="18" customHeight="1" x14ac:dyDescent="0.25"/>
    <row r="244" ht="18" customHeight="1" x14ac:dyDescent="0.25"/>
    <row r="245" ht="18" customHeight="1" x14ac:dyDescent="0.25"/>
    <row r="246" ht="18" customHeight="1" x14ac:dyDescent="0.25"/>
    <row r="247" ht="18" customHeight="1" x14ac:dyDescent="0.25"/>
    <row r="248" ht="18" customHeight="1" x14ac:dyDescent="0.25"/>
    <row r="249" ht="18" customHeight="1" x14ac:dyDescent="0.25"/>
    <row r="250" ht="18" customHeight="1" x14ac:dyDescent="0.25"/>
    <row r="251" ht="18" customHeight="1" x14ac:dyDescent="0.25"/>
    <row r="252" ht="18" customHeight="1" x14ac:dyDescent="0.25"/>
    <row r="253" ht="18" customHeight="1" x14ac:dyDescent="0.25"/>
    <row r="254" ht="18" customHeight="1" x14ac:dyDescent="0.25"/>
    <row r="255" ht="18" customHeight="1" x14ac:dyDescent="0.25"/>
    <row r="256" ht="18" customHeight="1" x14ac:dyDescent="0.25"/>
    <row r="257" ht="18" customHeight="1" x14ac:dyDescent="0.25"/>
    <row r="258" ht="18" customHeight="1" x14ac:dyDescent="0.25"/>
    <row r="259" ht="18" customHeight="1" x14ac:dyDescent="0.25"/>
    <row r="260" ht="18" customHeight="1" x14ac:dyDescent="0.25"/>
    <row r="261" ht="18" customHeight="1" x14ac:dyDescent="0.25"/>
    <row r="262" ht="18" customHeight="1" x14ac:dyDescent="0.25"/>
    <row r="263" ht="18" customHeight="1" x14ac:dyDescent="0.25"/>
    <row r="264" ht="18" customHeight="1" x14ac:dyDescent="0.25"/>
    <row r="265" ht="18" customHeight="1" x14ac:dyDescent="0.25"/>
    <row r="266" ht="18" customHeight="1" x14ac:dyDescent="0.25"/>
    <row r="267" ht="18" customHeight="1" x14ac:dyDescent="0.25"/>
    <row r="268" ht="18" customHeight="1" x14ac:dyDescent="0.25"/>
    <row r="269" ht="18" customHeight="1" x14ac:dyDescent="0.25"/>
    <row r="270" ht="18" customHeight="1" x14ac:dyDescent="0.25"/>
    <row r="271" ht="18" customHeight="1" x14ac:dyDescent="0.25"/>
    <row r="272" ht="18" customHeight="1" x14ac:dyDescent="0.25"/>
    <row r="273" ht="18" customHeight="1" x14ac:dyDescent="0.25"/>
    <row r="274" ht="18" customHeight="1" x14ac:dyDescent="0.25"/>
    <row r="275" ht="18" customHeight="1" x14ac:dyDescent="0.25"/>
    <row r="276" ht="18" customHeight="1" x14ac:dyDescent="0.25"/>
    <row r="277" ht="18" customHeight="1" x14ac:dyDescent="0.25"/>
    <row r="278" ht="18" customHeight="1" x14ac:dyDescent="0.25"/>
    <row r="279" ht="18" customHeight="1" x14ac:dyDescent="0.25"/>
    <row r="280" ht="18" customHeight="1" x14ac:dyDescent="0.25"/>
    <row r="281" ht="18" customHeight="1" x14ac:dyDescent="0.25"/>
    <row r="282" ht="18" customHeight="1" x14ac:dyDescent="0.25"/>
    <row r="283" ht="18" customHeight="1" x14ac:dyDescent="0.25"/>
    <row r="284" ht="18" customHeight="1" x14ac:dyDescent="0.25"/>
    <row r="285" ht="18" customHeight="1" x14ac:dyDescent="0.25"/>
    <row r="286" ht="18" customHeight="1" x14ac:dyDescent="0.25"/>
    <row r="287" ht="18" customHeight="1" x14ac:dyDescent="0.25"/>
    <row r="288" ht="18" customHeight="1" x14ac:dyDescent="0.25"/>
    <row r="289" ht="18" customHeight="1" x14ac:dyDescent="0.25"/>
    <row r="290" ht="18" customHeight="1" x14ac:dyDescent="0.25"/>
    <row r="291" ht="18" customHeight="1" x14ac:dyDescent="0.25"/>
    <row r="292" ht="18" customHeight="1" x14ac:dyDescent="0.25"/>
    <row r="293" ht="18" customHeight="1" x14ac:dyDescent="0.25"/>
    <row r="294" ht="18" customHeight="1" x14ac:dyDescent="0.25"/>
    <row r="295" ht="18" customHeight="1" x14ac:dyDescent="0.25"/>
    <row r="296" ht="18" customHeight="1" x14ac:dyDescent="0.25"/>
    <row r="297" ht="18" customHeight="1" x14ac:dyDescent="0.25"/>
    <row r="298" ht="18" customHeight="1" x14ac:dyDescent="0.25"/>
    <row r="299" ht="18" customHeight="1" x14ac:dyDescent="0.25"/>
    <row r="300" ht="18" customHeight="1" x14ac:dyDescent="0.25"/>
    <row r="301" ht="18" customHeight="1" x14ac:dyDescent="0.25"/>
    <row r="302" ht="18" customHeight="1" x14ac:dyDescent="0.25"/>
    <row r="303" ht="18" customHeight="1" x14ac:dyDescent="0.25"/>
    <row r="304" ht="18" customHeight="1" x14ac:dyDescent="0.25"/>
    <row r="305" ht="18" customHeight="1" x14ac:dyDescent="0.25"/>
    <row r="306" ht="18" customHeight="1" x14ac:dyDescent="0.25"/>
    <row r="307" ht="18" customHeight="1" x14ac:dyDescent="0.25"/>
    <row r="308" ht="18" customHeight="1" x14ac:dyDescent="0.25"/>
    <row r="309" ht="18" customHeight="1" x14ac:dyDescent="0.25"/>
    <row r="310" ht="18" customHeight="1" x14ac:dyDescent="0.25"/>
    <row r="311" ht="18" customHeight="1" x14ac:dyDescent="0.25"/>
    <row r="312" ht="18" customHeight="1" x14ac:dyDescent="0.25"/>
    <row r="313" ht="18" customHeight="1" x14ac:dyDescent="0.25"/>
    <row r="314" ht="18" customHeight="1" x14ac:dyDescent="0.25"/>
    <row r="315" ht="18" customHeight="1" x14ac:dyDescent="0.25"/>
    <row r="316" ht="18" customHeight="1" x14ac:dyDescent="0.25"/>
    <row r="317" ht="18" customHeight="1" x14ac:dyDescent="0.25"/>
    <row r="318" ht="18" customHeight="1" x14ac:dyDescent="0.25"/>
    <row r="319" ht="18" customHeight="1" x14ac:dyDescent="0.25"/>
    <row r="320" ht="18" customHeight="1" x14ac:dyDescent="0.25"/>
    <row r="321" ht="18" customHeight="1" x14ac:dyDescent="0.25"/>
    <row r="322" ht="18" customHeight="1" x14ac:dyDescent="0.25"/>
    <row r="323" ht="18" customHeight="1" x14ac:dyDescent="0.25"/>
    <row r="324" ht="18" customHeight="1" x14ac:dyDescent="0.25"/>
    <row r="325" ht="18" customHeight="1" x14ac:dyDescent="0.25"/>
    <row r="326" ht="18" customHeight="1" x14ac:dyDescent="0.25"/>
    <row r="327" ht="18" customHeight="1" x14ac:dyDescent="0.25"/>
    <row r="328" ht="18" customHeight="1" x14ac:dyDescent="0.25"/>
    <row r="329" ht="18" customHeight="1" x14ac:dyDescent="0.25"/>
    <row r="330" ht="18" customHeight="1" x14ac:dyDescent="0.25"/>
    <row r="331" ht="18" customHeight="1" x14ac:dyDescent="0.25"/>
    <row r="332" ht="18" customHeight="1" x14ac:dyDescent="0.25"/>
    <row r="333" ht="18" customHeight="1" x14ac:dyDescent="0.25"/>
    <row r="334" ht="18" customHeight="1" x14ac:dyDescent="0.25"/>
    <row r="335" ht="18" customHeight="1" x14ac:dyDescent="0.25"/>
    <row r="336" ht="18" customHeight="1" x14ac:dyDescent="0.25"/>
    <row r="337" ht="18" customHeight="1" x14ac:dyDescent="0.25"/>
    <row r="338" ht="18" customHeight="1" x14ac:dyDescent="0.25"/>
    <row r="339" ht="18" customHeight="1" x14ac:dyDescent="0.25"/>
    <row r="340" ht="18" customHeight="1" x14ac:dyDescent="0.25"/>
    <row r="341" ht="18" customHeight="1" x14ac:dyDescent="0.25"/>
    <row r="342" ht="18" customHeight="1" x14ac:dyDescent="0.25"/>
    <row r="343" ht="18" customHeight="1" x14ac:dyDescent="0.25"/>
    <row r="344" ht="18" customHeight="1" x14ac:dyDescent="0.25"/>
    <row r="345" ht="18" customHeight="1" x14ac:dyDescent="0.25"/>
    <row r="346" ht="18" customHeight="1" x14ac:dyDescent="0.25"/>
    <row r="347" ht="18" customHeight="1" x14ac:dyDescent="0.25"/>
    <row r="348" ht="18" customHeight="1" x14ac:dyDescent="0.25"/>
    <row r="349" ht="18" customHeight="1" x14ac:dyDescent="0.25"/>
    <row r="350" ht="18" customHeight="1" x14ac:dyDescent="0.25"/>
    <row r="351" ht="18" customHeight="1" x14ac:dyDescent="0.25"/>
    <row r="352" ht="18" customHeight="1" x14ac:dyDescent="0.25"/>
    <row r="353" ht="18" customHeight="1" x14ac:dyDescent="0.25"/>
    <row r="354" ht="18" customHeight="1" x14ac:dyDescent="0.25"/>
    <row r="355" ht="18" customHeight="1" x14ac:dyDescent="0.25"/>
    <row r="356" ht="18" customHeight="1" x14ac:dyDescent="0.25"/>
    <row r="357" ht="18" customHeight="1" x14ac:dyDescent="0.25"/>
    <row r="358" ht="18" customHeight="1" x14ac:dyDescent="0.25"/>
    <row r="359" ht="18" customHeight="1" x14ac:dyDescent="0.25"/>
    <row r="360" ht="18" customHeight="1" x14ac:dyDescent="0.25"/>
    <row r="361" ht="18" customHeight="1" x14ac:dyDescent="0.25"/>
    <row r="362" ht="18" customHeight="1" x14ac:dyDescent="0.25"/>
    <row r="363" ht="18" customHeight="1" x14ac:dyDescent="0.25"/>
    <row r="364" ht="18" customHeight="1" x14ac:dyDescent="0.25"/>
    <row r="365" ht="18" customHeight="1" x14ac:dyDescent="0.25"/>
    <row r="366" ht="18" customHeight="1" x14ac:dyDescent="0.25"/>
    <row r="367" ht="18" customHeight="1" x14ac:dyDescent="0.25"/>
    <row r="368" ht="18" customHeight="1" x14ac:dyDescent="0.25"/>
    <row r="369" ht="18" customHeight="1" x14ac:dyDescent="0.25"/>
    <row r="370" ht="18" customHeight="1" x14ac:dyDescent="0.25"/>
    <row r="371" ht="18" customHeight="1" x14ac:dyDescent="0.25"/>
    <row r="372" ht="18" customHeight="1" x14ac:dyDescent="0.25"/>
    <row r="373" ht="18" customHeight="1" x14ac:dyDescent="0.25"/>
    <row r="374" ht="18" customHeight="1" x14ac:dyDescent="0.25"/>
    <row r="375" ht="18" customHeight="1" x14ac:dyDescent="0.25"/>
    <row r="376" ht="18" customHeight="1" x14ac:dyDescent="0.25"/>
    <row r="377" ht="18" customHeight="1" x14ac:dyDescent="0.25"/>
    <row r="378" ht="18" customHeight="1" x14ac:dyDescent="0.25"/>
    <row r="379" ht="18" customHeight="1" x14ac:dyDescent="0.25"/>
    <row r="380" ht="18" customHeight="1" x14ac:dyDescent="0.25"/>
    <row r="381" ht="18" customHeight="1" x14ac:dyDescent="0.25"/>
    <row r="382" ht="18" customHeight="1" x14ac:dyDescent="0.25"/>
    <row r="383" ht="18" customHeight="1" x14ac:dyDescent="0.25"/>
  </sheetData>
  <sheetProtection selectLockedCells="1"/>
  <mergeCells count="1">
    <mergeCell ref="A36:J38"/>
  </mergeCells>
  <phoneticPr fontId="3" type="noConversion"/>
  <pageMargins left="0.75" right="0.75" top="1" bottom="1" header="0.5" footer="0.5"/>
  <pageSetup paperSize="9" orientation="portrait" horizontalDpi="4294967292" verticalDpi="4294967292" r:id="rId1"/>
  <headerFooter alignWithMargins="0"/>
  <drawing r:id="rId2"/>
</worksheet>
</file>

<file path=docMetadata/LabelInfo.xml><?xml version="1.0" encoding="utf-8"?>
<clbl:labelList xmlns:clbl="http://schemas.microsoft.com/office/2020/mipLabelMetadata">
  <clbl:label id="{3f9b3751-29cf-4dc6-aeb8-8c5392695401}" enabled="1" method="Privileged" siteId="{49dfc6a3-5fb7-49f4-adea-c54e725bb85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Taxpayer Info</vt:lpstr>
      <vt:lpstr>T1 Income</vt:lpstr>
      <vt:lpstr>T2 Income</vt:lpstr>
      <vt:lpstr>T1 Deductions</vt:lpstr>
      <vt:lpstr>T2 Deductions</vt:lpstr>
      <vt:lpstr>Tax Offsets</vt:lpstr>
      <vt:lpstr>Additional Info T1</vt:lpstr>
      <vt:lpstr>Additional Info T2</vt:lpstr>
      <vt:lpstr>Business T1</vt:lpstr>
      <vt:lpstr>Business T2</vt:lpstr>
      <vt:lpstr>Medicare Health &amp; Other</vt:lpstr>
      <vt:lpstr>7 Rosella Close</vt:lpstr>
      <vt:lpstr>Property 2</vt:lpstr>
      <vt:lpstr>Property 3</vt:lpstr>
      <vt:lpstr>Property 4</vt:lpstr>
      <vt:lpstr>Property 5</vt:lpstr>
      <vt:lpstr>Property 6</vt:lpstr>
      <vt:lpstr>Property 7</vt:lpstr>
      <vt:lpstr>Property 8</vt:lpstr>
      <vt:lpstr>Property 9</vt:lpstr>
      <vt:lpstr>Property 10</vt:lpstr>
      <vt:lpstr>Property 11</vt:lpstr>
      <vt:lpstr>Portfolio Summary</vt:lpstr>
      <vt:lpstr>'Portfolio Summary'!Print_Area</vt:lpstr>
      <vt:lpstr>'T1 Income'!Print_Area</vt:lpstr>
      <vt:lpstr>'T2 Income'!Print_Area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Pulkit Gupta</cp:lastModifiedBy>
  <cp:lastPrinted>2014-06-02T02:32:26Z</cp:lastPrinted>
  <dcterms:created xsi:type="dcterms:W3CDTF">2011-01-11T05:33:40Z</dcterms:created>
  <dcterms:modified xsi:type="dcterms:W3CDTF">2021-08-29T03:25:18Z</dcterms:modified>
</cp:coreProperties>
</file>